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21.xml" ContentType="application/vnd.ms-excel.controlproperties+xml"/>
  <Override PartName="/xl/drawings/drawing7.xml" ContentType="application/vnd.openxmlformats-officedocument.drawing+xml"/>
  <Override PartName="/xl/ctrlProps/ctrlProp22.xml" ContentType="application/vnd.ms-excel.controlproperties+xml"/>
  <Override PartName="/xl/drawings/drawing8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9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0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drawings/drawing11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33.xml" ContentType="application/vnd.ms-excel.controlproperties+xml"/>
  <Override PartName="/xl/ctrlProps/ctrlProp34.xml" ContentType="application/vnd.ms-excel.controlproperties+xml"/>
  <Override PartName="/xl/tables/table2.xml" ContentType="application/vnd.openxmlformats-officedocument.spreadsheetml.table+xml"/>
  <Override PartName="/xl/slicers/slicer2.xml" ContentType="application/vnd.ms-excel.slicer+xml"/>
  <Override PartName="/xl/drawings/drawing1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3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14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15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16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17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trlProps/ctrlProp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en_skoroszyt"/>
  <mc:AlternateContent xmlns:mc="http://schemas.openxmlformats.org/markup-compatibility/2006">
    <mc:Choice Requires="x15">
      <x15ac:absPath xmlns:x15ac="http://schemas.microsoft.com/office/spreadsheetml/2010/11/ac" url="F:\zgo nowa prawa\Programy\ewidencja czasu pracy\0. DONE GIT\workingTime\"/>
    </mc:Choice>
  </mc:AlternateContent>
  <xr:revisionPtr revIDLastSave="0" documentId="13_ncr:1_{5106BC6A-DCE0-412D-BACC-E0C385863C30}" xr6:coauthVersionLast="47" xr6:coauthVersionMax="47" xr10:uidLastSave="{00000000-0000-0000-0000-000000000000}"/>
  <bookViews>
    <workbookView xWindow="22410" yWindow="3405" windowWidth="18840" windowHeight="13260" tabRatio="853" xr2:uid="{00000000-000D-0000-FFFF-FFFF00000000}"/>
  </bookViews>
  <sheets>
    <sheet name="HOME" sheetId="2" r:id="rId1"/>
    <sheet name="EWIDENCJA miesięczna" sheetId="5" r:id="rId2"/>
    <sheet name="Rozliczanie pracy" sheetId="20" r:id="rId3"/>
    <sheet name="Niewykorzystany Urlop" sheetId="24" r:id="rId4"/>
    <sheet name="P - Odbiór dni" sheetId="17" r:id="rId5"/>
    <sheet name="P - Uzupełniona Ewidencja" sheetId="18" r:id="rId6"/>
    <sheet name="P - Uzupełniony Urlop" sheetId="19" r:id="rId7"/>
    <sheet name="Z - EWIDENCJA ROCZNA" sheetId="21" r:id="rId8"/>
    <sheet name="Z - stan urlopu na piony" sheetId="16" r:id="rId9"/>
    <sheet name="Z - Stan urlopu na dzień" sheetId="23" r:id="rId10"/>
    <sheet name="Z - Wykaz nieobecnosci" sheetId="22" r:id="rId11"/>
    <sheet name="Pracownicy" sheetId="4" r:id="rId12"/>
    <sheet name="Dni Urlopu" sheetId="15" r:id="rId13"/>
    <sheet name="Grupy" sheetId="6" r:id="rId14"/>
    <sheet name="Piony" sheetId="8" r:id="rId15"/>
    <sheet name="Zmiany" sheetId="11" r:id="rId16"/>
    <sheet name="Święta" sheetId="12" r:id="rId17"/>
    <sheet name="Typy nieobecności" sheetId="13" r:id="rId18"/>
    <sheet name="Godziny nocne" sheetId="14" r:id="rId19"/>
  </sheets>
  <functionGroups builtInGroupCount="19"/>
  <externalReferences>
    <externalReference r:id="rId20"/>
  </externalReferences>
  <definedNames>
    <definedName name="_xlnm._FilterDatabase" localSheetId="12" hidden="1">'Dni Urlopu'!$C$20:$G$24</definedName>
    <definedName name="_xlnm._FilterDatabase" localSheetId="11" hidden="1">Pracownicy!$C$20:$M$257</definedName>
    <definedName name="_xlnm._FilterDatabase" localSheetId="9" hidden="1">'Z - Stan urlopu na dzień'!$C$23:$Q$23</definedName>
    <definedName name="_xlnm._FilterDatabase" localSheetId="10" hidden="1">'Z - Wykaz nieobecnosci'!$C$27:$K$27</definedName>
    <definedName name="activeRow_AbsenceTypes">21</definedName>
    <definedName name="activeRow_DaysOfVacation">21</definedName>
    <definedName name="activeRow_Groups">22</definedName>
    <definedName name="activeRow_GroupsShifts">21</definedName>
    <definedName name="activeRow_Holidays">27</definedName>
    <definedName name="activeRow_monthRecord">31</definedName>
    <definedName name="activeRow_NightHours">28</definedName>
    <definedName name="activeRow_Sections">30</definedName>
    <definedName name="activeRow_Shifts">24</definedName>
    <definedName name="activeRow_transfer">23</definedName>
    <definedName name="activeRow_Workers">27</definedName>
    <definedName name="activeUserName">"Admin"</definedName>
    <definedName name="arrayHolidays">{"2023-01-01";"2023-01-06";"2023-04-09";"2023-04-10";"2023-05-01";"2023-05-03";"2023-05-28";"2023-06-08";"2023-08-15";"2023-11-01";"2023-11-11";"2023-12-25";"2023-12-26";"2023-02-01";"2023-03-12"}</definedName>
    <definedName name="daysOfVacation_Year">'Dni Urlopu'!$D$9</definedName>
    <definedName name="Fragmentator_Pion">#N/A</definedName>
    <definedName name="Fragmentator_Rodzaj_nieobecności">#N/A</definedName>
    <definedName name="MainBaza_newLP">MAX([1]Baza_Main!$C:$C)+1</definedName>
    <definedName name="monthRecord_fireDate">'EWIDENCJA miesięczna'!$K$12</definedName>
    <definedName name="monthRecord_hireDate">'EWIDENCJA miesięczna'!$K$11</definedName>
    <definedName name="monthRecord_IdWorker">'EWIDENCJA miesięczna'!$D$9</definedName>
    <definedName name="monthRecord_Month">'EWIDENCJA miesięczna'!$G$12</definedName>
    <definedName name="monthRecord_Year">'EWIDENCJA miesięczna'!$G$11</definedName>
    <definedName name="_xlnm.Print_Area" localSheetId="2">'Rozliczanie pracy'!$D$20:$Z$290</definedName>
    <definedName name="_xlnm.Print_Area" localSheetId="7">'Z - EWIDENCJA ROCZNA'!$E$17:$BF$112</definedName>
    <definedName name="_xlnm.Print_Area" localSheetId="8">'Z - stan urlopu na piony'!$C$8:$I$43</definedName>
    <definedName name="pickedYearToHolidays">Święta!$D$9</definedName>
    <definedName name="R_allAbsence_dateEnd">'Z - Wykaz nieobecnosci'!$F$13</definedName>
    <definedName name="R_allAbsence_dateStart">'Z - Wykaz nieobecnosci'!$F$12</definedName>
    <definedName name="Report_Table_AllAbsence">OFFSET('Z - Wykaz nieobecnosci'!$C$27,0,0,COUNTA('Z - Wykaz nieobecnosci'!$C:$C),8)</definedName>
    <definedName name="transferDays_chosenYear">'Niewykorzystany Urlop'!$E$9</definedName>
    <definedName name="W_daysOfVacationChosenYear">'P - Uzupełniony Urlop'!$E$10</definedName>
    <definedName name="YearRecord_chosenWorkerID">'Z - EWIDENCJA ROCZNA'!$G$9</definedName>
    <definedName name="YearRecord_chosenYear">'Z - EWIDENCJA ROCZNA'!$I$9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1"/>
        <x14:slicerCache r:id="rId22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9" i="2" l="1"/>
  <c r="S8" i="2" s="1"/>
  <c r="B34" i="2" l="1"/>
  <c r="H21" i="23"/>
  <c r="I21" i="23"/>
  <c r="G21" i="23"/>
  <c r="H22" i="23"/>
  <c r="I22" i="23"/>
  <c r="G22" i="23"/>
  <c r="B30" i="2" l="1"/>
  <c r="B27" i="2"/>
  <c r="AC13" i="21"/>
  <c r="AC12" i="21"/>
  <c r="E11" i="19"/>
  <c r="AP32" i="21" l="1"/>
  <c r="AQ32" i="21"/>
  <c r="AR32" i="21"/>
  <c r="AS32" i="21"/>
  <c r="AT32" i="21"/>
  <c r="AU32" i="21"/>
  <c r="AV32" i="21"/>
  <c r="AW32" i="21"/>
  <c r="AX32" i="21"/>
  <c r="AY32" i="21"/>
  <c r="AZ32" i="21"/>
  <c r="BA32" i="21"/>
  <c r="BB32" i="21"/>
  <c r="BC32" i="21"/>
  <c r="BD32" i="21"/>
  <c r="BE32" i="21"/>
  <c r="BF32" i="21"/>
  <c r="AP39" i="21"/>
  <c r="AQ39" i="21"/>
  <c r="AR39" i="21"/>
  <c r="AS39" i="21"/>
  <c r="AT39" i="21"/>
  <c r="AU39" i="21"/>
  <c r="AV39" i="21"/>
  <c r="AW39" i="21"/>
  <c r="AX39" i="21"/>
  <c r="AY39" i="21"/>
  <c r="AZ39" i="21"/>
  <c r="BA39" i="21"/>
  <c r="BB39" i="21"/>
  <c r="BC39" i="21"/>
  <c r="BD39" i="21"/>
  <c r="BE39" i="21"/>
  <c r="BF39" i="21"/>
  <c r="AP46" i="21"/>
  <c r="AQ46" i="21"/>
  <c r="AR46" i="21"/>
  <c r="AS46" i="21"/>
  <c r="AT46" i="21"/>
  <c r="AU46" i="21"/>
  <c r="AV46" i="21"/>
  <c r="AW46" i="21"/>
  <c r="AX46" i="21"/>
  <c r="AY46" i="21"/>
  <c r="AZ46" i="21"/>
  <c r="BA46" i="21"/>
  <c r="BB46" i="21"/>
  <c r="BC46" i="21"/>
  <c r="BD46" i="21"/>
  <c r="BE46" i="21"/>
  <c r="BF46" i="21"/>
  <c r="AP53" i="21"/>
  <c r="AQ53" i="21"/>
  <c r="AR53" i="21"/>
  <c r="AS53" i="21"/>
  <c r="AT53" i="21"/>
  <c r="AU53" i="21"/>
  <c r="AV53" i="21"/>
  <c r="AW53" i="21"/>
  <c r="AX53" i="21"/>
  <c r="AY53" i="21"/>
  <c r="AZ53" i="21"/>
  <c r="BA53" i="21"/>
  <c r="BB53" i="21"/>
  <c r="BC53" i="21"/>
  <c r="BD53" i="21"/>
  <c r="BE53" i="21"/>
  <c r="BF53" i="21"/>
  <c r="AP60" i="21"/>
  <c r="AQ60" i="21"/>
  <c r="AR60" i="21"/>
  <c r="AS60" i="21"/>
  <c r="AT60" i="21"/>
  <c r="AU60" i="21"/>
  <c r="AV60" i="21"/>
  <c r="AW60" i="21"/>
  <c r="AX60" i="21"/>
  <c r="AY60" i="21"/>
  <c r="AZ60" i="21"/>
  <c r="BA60" i="21"/>
  <c r="BB60" i="21"/>
  <c r="BC60" i="21"/>
  <c r="BD60" i="21"/>
  <c r="BE60" i="21"/>
  <c r="BF60" i="21"/>
  <c r="AP67" i="21"/>
  <c r="AQ67" i="21"/>
  <c r="AR67" i="21"/>
  <c r="AS67" i="21"/>
  <c r="AT67" i="21"/>
  <c r="AU67" i="21"/>
  <c r="AV67" i="21"/>
  <c r="AW67" i="21"/>
  <c r="AX67" i="21"/>
  <c r="AY67" i="21"/>
  <c r="AZ67" i="21"/>
  <c r="BA67" i="21"/>
  <c r="BB67" i="21"/>
  <c r="BC67" i="21"/>
  <c r="BD67" i="21"/>
  <c r="BE67" i="21"/>
  <c r="BF67" i="21"/>
  <c r="AP74" i="21"/>
  <c r="AQ74" i="21"/>
  <c r="AR74" i="21"/>
  <c r="AS74" i="21"/>
  <c r="AT74" i="21"/>
  <c r="AU74" i="21"/>
  <c r="AV74" i="21"/>
  <c r="AW74" i="21"/>
  <c r="AX74" i="21"/>
  <c r="AY74" i="21"/>
  <c r="AZ74" i="21"/>
  <c r="BA74" i="21"/>
  <c r="BB74" i="21"/>
  <c r="BC74" i="21"/>
  <c r="BD74" i="21"/>
  <c r="BE74" i="21"/>
  <c r="BF74" i="21"/>
  <c r="AP81" i="21"/>
  <c r="AQ81" i="21"/>
  <c r="AR81" i="21"/>
  <c r="AS81" i="21"/>
  <c r="AT81" i="21"/>
  <c r="AU81" i="21"/>
  <c r="AV81" i="21"/>
  <c r="AW81" i="21"/>
  <c r="AX81" i="21"/>
  <c r="AY81" i="21"/>
  <c r="AZ81" i="21"/>
  <c r="BA81" i="21"/>
  <c r="BB81" i="21"/>
  <c r="BC81" i="21"/>
  <c r="BD81" i="21"/>
  <c r="BE81" i="21"/>
  <c r="BF81" i="21"/>
  <c r="AP88" i="21"/>
  <c r="AQ88" i="21"/>
  <c r="AR88" i="21"/>
  <c r="AS88" i="21"/>
  <c r="AT88" i="21"/>
  <c r="AU88" i="21"/>
  <c r="AV88" i="21"/>
  <c r="AW88" i="21"/>
  <c r="AX88" i="21"/>
  <c r="AY88" i="21"/>
  <c r="AZ88" i="21"/>
  <c r="BA88" i="21"/>
  <c r="BB88" i="21"/>
  <c r="BC88" i="21"/>
  <c r="BD88" i="21"/>
  <c r="BE88" i="21"/>
  <c r="BF88" i="21"/>
  <c r="AP95" i="21"/>
  <c r="AQ95" i="21"/>
  <c r="AR95" i="21"/>
  <c r="AS95" i="21"/>
  <c r="AT95" i="21"/>
  <c r="AU95" i="21"/>
  <c r="AV95" i="21"/>
  <c r="AW95" i="21"/>
  <c r="AX95" i="21"/>
  <c r="AY95" i="21"/>
  <c r="AZ95" i="21"/>
  <c r="BA95" i="21"/>
  <c r="BB95" i="21"/>
  <c r="BC95" i="21"/>
  <c r="BD95" i="21"/>
  <c r="BE95" i="21"/>
  <c r="BF95" i="21"/>
  <c r="AP102" i="21"/>
  <c r="AQ102" i="21"/>
  <c r="AR102" i="21"/>
  <c r="AS102" i="21"/>
  <c r="AT102" i="21"/>
  <c r="AU102" i="21"/>
  <c r="AV102" i="21"/>
  <c r="AW102" i="21"/>
  <c r="AX102" i="21"/>
  <c r="AY102" i="21"/>
  <c r="AZ102" i="21"/>
  <c r="BA102" i="21"/>
  <c r="BB102" i="21"/>
  <c r="BC102" i="21"/>
  <c r="BD102" i="21"/>
  <c r="BE102" i="21"/>
  <c r="BF102" i="21"/>
  <c r="BF25" i="21"/>
  <c r="AR25" i="21"/>
  <c r="AS25" i="21"/>
  <c r="AT25" i="21"/>
  <c r="AU25" i="21"/>
  <c r="AV25" i="21"/>
  <c r="AW25" i="21"/>
  <c r="AX25" i="21"/>
  <c r="AY25" i="21"/>
  <c r="AZ25" i="21"/>
  <c r="BA25" i="21"/>
  <c r="BB25" i="21"/>
  <c r="BC25" i="21"/>
  <c r="BD25" i="21"/>
  <c r="BE25" i="21"/>
  <c r="AQ25" i="21"/>
  <c r="AP25" i="21"/>
  <c r="AL46" i="21"/>
  <c r="AM46" i="21"/>
  <c r="AN46" i="21"/>
  <c r="AO46" i="21"/>
  <c r="AL53" i="21"/>
  <c r="AM53" i="21"/>
  <c r="AN53" i="21"/>
  <c r="AO53" i="21"/>
  <c r="AL60" i="21"/>
  <c r="AM60" i="21"/>
  <c r="AN60" i="21"/>
  <c r="AO60" i="21"/>
  <c r="AL67" i="21"/>
  <c r="AM67" i="21"/>
  <c r="AN67" i="21"/>
  <c r="AO67" i="21"/>
  <c r="AL74" i="21"/>
  <c r="AM74" i="21"/>
  <c r="AN74" i="21"/>
  <c r="AO74" i="21"/>
  <c r="AL81" i="21"/>
  <c r="AM81" i="21"/>
  <c r="AN81" i="21"/>
  <c r="AO81" i="21"/>
  <c r="AL88" i="21"/>
  <c r="AM88" i="21"/>
  <c r="AN88" i="21"/>
  <c r="AO88" i="21"/>
  <c r="AL95" i="21"/>
  <c r="AM95" i="21"/>
  <c r="AN95" i="21"/>
  <c r="AO95" i="21"/>
  <c r="AL102" i="21"/>
  <c r="AM102" i="21"/>
  <c r="AN102" i="21"/>
  <c r="AO102" i="21"/>
  <c r="AL39" i="21"/>
  <c r="AM39" i="21"/>
  <c r="AN39" i="21"/>
  <c r="AO39" i="21"/>
  <c r="AL32" i="21"/>
  <c r="AM32" i="21"/>
  <c r="AN32" i="21"/>
  <c r="AO32" i="21"/>
  <c r="AO25" i="21"/>
  <c r="AN25" i="21"/>
  <c r="AM25" i="21"/>
  <c r="AL25" i="21"/>
  <c r="E17" i="21"/>
  <c r="AQ109" i="21" l="1"/>
  <c r="AR109" i="21"/>
  <c r="BC109" i="21"/>
  <c r="AS109" i="21"/>
  <c r="BD109" i="21"/>
  <c r="BB109" i="21"/>
  <c r="BA109" i="21"/>
  <c r="AZ109" i="21"/>
  <c r="AY109" i="21"/>
  <c r="AW109" i="21"/>
  <c r="AV109" i="21"/>
  <c r="AU109" i="21"/>
  <c r="AX109" i="21"/>
  <c r="AT109" i="21"/>
  <c r="AM109" i="21"/>
  <c r="AL109" i="21"/>
  <c r="AP109" i="21"/>
  <c r="BF109" i="21"/>
  <c r="AN109" i="21"/>
  <c r="AO109" i="21"/>
  <c r="BE109" i="21"/>
  <c r="G57" i="5"/>
  <c r="I57" i="5"/>
  <c r="H57" i="5"/>
  <c r="H79" i="5" l="1"/>
  <c r="G79" i="5"/>
  <c r="H78" i="5"/>
  <c r="G78" i="5"/>
  <c r="H77" i="5"/>
  <c r="G77" i="5"/>
  <c r="H76" i="5"/>
  <c r="G76" i="5"/>
  <c r="H75" i="5"/>
  <c r="G75" i="5"/>
  <c r="H74" i="5"/>
  <c r="G74" i="5"/>
  <c r="H73" i="5"/>
  <c r="G73" i="5"/>
  <c r="H72" i="5"/>
  <c r="G72" i="5"/>
  <c r="H71" i="5"/>
  <c r="G71" i="5"/>
  <c r="H70" i="5"/>
  <c r="G70" i="5"/>
  <c r="H69" i="5"/>
  <c r="G69" i="5"/>
  <c r="H68" i="5"/>
  <c r="G68" i="5"/>
  <c r="H67" i="5"/>
  <c r="G67" i="5"/>
  <c r="H66" i="5"/>
  <c r="G66" i="5"/>
  <c r="H65" i="5"/>
  <c r="G65" i="5"/>
  <c r="H64" i="5"/>
  <c r="G64" i="5"/>
  <c r="H63" i="5"/>
  <c r="G63" i="5"/>
  <c r="E57" i="5"/>
  <c r="R11" i="5"/>
  <c r="R10" i="5"/>
</calcChain>
</file>

<file path=xl/sharedStrings.xml><?xml version="1.0" encoding="utf-8"?>
<sst xmlns="http://schemas.openxmlformats.org/spreadsheetml/2006/main" count="520" uniqueCount="282">
  <si>
    <t>P R A C O W N I C Y</t>
  </si>
  <si>
    <t>ID pracownika</t>
  </si>
  <si>
    <t>Imię</t>
  </si>
  <si>
    <t>Nazwisko</t>
  </si>
  <si>
    <t>Gmina</t>
  </si>
  <si>
    <t>Oznaczenie</t>
  </si>
  <si>
    <t>Grupa</t>
  </si>
  <si>
    <t>Pion</t>
  </si>
  <si>
    <t>Data zatrudnienia</t>
  </si>
  <si>
    <t>Data zwolnienia</t>
  </si>
  <si>
    <t>G R U P Y</t>
  </si>
  <si>
    <t>ID Grupy</t>
  </si>
  <si>
    <t>Nazwa Grupy</t>
  </si>
  <si>
    <t>P I O N Y</t>
  </si>
  <si>
    <t>ID pion</t>
  </si>
  <si>
    <t>Nazwa pionu</t>
  </si>
  <si>
    <t>Kierownik Pionu</t>
  </si>
  <si>
    <t xml:space="preserve">Z M I A N Y </t>
  </si>
  <si>
    <t>ID zmiany</t>
  </si>
  <si>
    <t>Nazwa Zmiany</t>
  </si>
  <si>
    <t>Godzina Zakończenia</t>
  </si>
  <si>
    <t>Godzina rozpoczęcia</t>
  </si>
  <si>
    <t>Przypisane do grupy zmiany:</t>
  </si>
  <si>
    <t>Ś W I Ę T A</t>
  </si>
  <si>
    <t>Id święta</t>
  </si>
  <si>
    <t>Data</t>
  </si>
  <si>
    <t>opis</t>
  </si>
  <si>
    <t>Wybrany rok:</t>
  </si>
  <si>
    <t>T Y P Y    N I E O B E C N O Ś C I</t>
  </si>
  <si>
    <t>id</t>
  </si>
  <si>
    <t>Skrót</t>
  </si>
  <si>
    <t>Opis</t>
  </si>
  <si>
    <t>Informacje dodatkowe</t>
  </si>
  <si>
    <t>UW</t>
  </si>
  <si>
    <t>Uwż</t>
  </si>
  <si>
    <t>UM</t>
  </si>
  <si>
    <t>Ub</t>
  </si>
  <si>
    <t>Usz</t>
  </si>
  <si>
    <t>Uo</t>
  </si>
  <si>
    <t>NN</t>
  </si>
  <si>
    <t>Nup</t>
  </si>
  <si>
    <t>Nun</t>
  </si>
  <si>
    <t>Del</t>
  </si>
  <si>
    <t>Od</t>
  </si>
  <si>
    <t>Ur</t>
  </si>
  <si>
    <t>Uwych.</t>
  </si>
  <si>
    <t>Uok</t>
  </si>
  <si>
    <t>Uop</t>
  </si>
  <si>
    <t>Inne</t>
  </si>
  <si>
    <t>G O D Z I N Y   N O C N E</t>
  </si>
  <si>
    <t>Godzina start</t>
  </si>
  <si>
    <t>Godzina koniec</t>
  </si>
  <si>
    <t>P R Z Y S Ł U G U J Ą C E    D N I    U R L O P U</t>
  </si>
  <si>
    <t>rok</t>
  </si>
  <si>
    <t>ilość dni przysługujących</t>
  </si>
  <si>
    <t>Nazwisko, Imię, oznaczenie pracownika</t>
  </si>
  <si>
    <t>E W I D E N C J A    M I E S I Ę C Z N A</t>
  </si>
  <si>
    <t>Wybrany miesiąc</t>
  </si>
  <si>
    <t>Pracownik</t>
  </si>
  <si>
    <t>przysługuje</t>
  </si>
  <si>
    <t>wykorzystano</t>
  </si>
  <si>
    <t>pozostało</t>
  </si>
  <si>
    <t>Urlop rok poprzedni</t>
  </si>
  <si>
    <t>Urlop aktualny rok</t>
  </si>
  <si>
    <t>DT</t>
  </si>
  <si>
    <t>Zmiana</t>
  </si>
  <si>
    <t>Początek pracy</t>
  </si>
  <si>
    <t>koniec pracy</t>
  </si>
  <si>
    <t>godziny nocne</t>
  </si>
  <si>
    <t>Rodzaj wpisu</t>
  </si>
  <si>
    <t>Typ Nieobecnosci</t>
  </si>
  <si>
    <t>ŚW</t>
  </si>
  <si>
    <t>typ nadgodzin</t>
  </si>
  <si>
    <t>Wybrany rok</t>
  </si>
  <si>
    <t>Zatrudniony</t>
  </si>
  <si>
    <t>Zwolniony</t>
  </si>
  <si>
    <r>
      <t>czas pracy</t>
    </r>
    <r>
      <rPr>
        <b/>
        <sz val="8"/>
        <color theme="1"/>
        <rFont val="Calibri"/>
        <family val="2"/>
        <charset val="238"/>
        <scheme val="minor"/>
      </rPr>
      <t xml:space="preserve"> (bez nadgodzin)</t>
    </r>
  </si>
  <si>
    <t>stanowisko</t>
  </si>
  <si>
    <t>PODSUMOWANIA</t>
  </si>
  <si>
    <t>L4</t>
  </si>
  <si>
    <t>czas pracy</t>
  </si>
  <si>
    <t>w tym godziny nocne</t>
  </si>
  <si>
    <t>ilosc nadgodzin</t>
  </si>
  <si>
    <t>Ilość wykorzystanych Uop</t>
  </si>
  <si>
    <t>cały rok</t>
  </si>
  <si>
    <t>Typ nieobecności</t>
  </si>
  <si>
    <t>Podsumowania dla wybranego miesiąca</t>
  </si>
  <si>
    <t>Podsumowania dla całego roku znajdują się w podsumowaniu rocznym</t>
  </si>
  <si>
    <t>Ilość dni roboczych</t>
  </si>
  <si>
    <t>Ilość wykorzystanych Uwz</t>
  </si>
  <si>
    <t>E W I D E N C J A    C Z A S U    P R A C Y</t>
  </si>
  <si>
    <t>MENU</t>
  </si>
  <si>
    <t>Ustawienia:</t>
  </si>
  <si>
    <t>HOME</t>
  </si>
  <si>
    <t>Powiadomienia</t>
  </si>
  <si>
    <t>Zestawienia</t>
  </si>
  <si>
    <t>Z E S T A W I E N I E</t>
  </si>
  <si>
    <t>oznaczenie</t>
  </si>
  <si>
    <t>S T A N    U R L O P O W  Y    Z     P O D Z I A Ł E M    N A    P I O N Y</t>
  </si>
  <si>
    <t>Suma</t>
  </si>
  <si>
    <t>Pozostało 2022</t>
  </si>
  <si>
    <t>Zestawienie stan urlopu</t>
  </si>
  <si>
    <t>Wygenerowano:</t>
  </si>
  <si>
    <t>Kierownik Pionu:</t>
  </si>
  <si>
    <t>Wybrany Pion:</t>
  </si>
  <si>
    <t>Pozostało 2023</t>
  </si>
  <si>
    <t>imie</t>
  </si>
  <si>
    <t>nazwisko</t>
  </si>
  <si>
    <t>P O W I A D O M I E N I A</t>
  </si>
  <si>
    <t>O D B I Ó R   D N I</t>
  </si>
  <si>
    <t>Dzień przyznany za</t>
  </si>
  <si>
    <t>Upłynęło czasu od przyznania</t>
  </si>
  <si>
    <t>ID</t>
  </si>
  <si>
    <t>Imię Nazwisko, oznaczenie</t>
  </si>
  <si>
    <t>C Z Y     E W I D E N C J A    U Z U P E Ł N I O N A?</t>
  </si>
  <si>
    <t>C Z Y    U R L O P    U Z U P E Ł N I O N Y?</t>
  </si>
  <si>
    <t>ilość dni wykorzystanych</t>
  </si>
  <si>
    <t>Data Od</t>
  </si>
  <si>
    <t>Data koniec</t>
  </si>
  <si>
    <t>Ilość pracowników bez uzupełnionej ewidencji:</t>
  </si>
  <si>
    <t>R O Z L I C Z A N I E    C Z A S U    P R A C Y</t>
  </si>
  <si>
    <t xml:space="preserve">Imię i nazwisko </t>
  </si>
  <si>
    <t>czas pracy 
[h]</t>
  </si>
  <si>
    <t>w tym godziny nocne [h]</t>
  </si>
  <si>
    <t>ilosc nadgodzin [h]</t>
  </si>
  <si>
    <t>nadgodziny</t>
  </si>
  <si>
    <t xml:space="preserve">  </t>
  </si>
  <si>
    <t>DO</t>
  </si>
  <si>
    <t>OD</t>
  </si>
  <si>
    <t>Rozliczenie za okres:</t>
  </si>
  <si>
    <t>Tabela pracowników bez uzupełnionej ewidencji w wybranym okresie</t>
  </si>
  <si>
    <t>nazwisko imię i stanowisko</t>
  </si>
  <si>
    <t>E W I D E N C J A    R O C Z N A</t>
  </si>
  <si>
    <t>Rok</t>
  </si>
  <si>
    <t>I</t>
  </si>
  <si>
    <t>II</t>
  </si>
  <si>
    <t>IV</t>
  </si>
  <si>
    <t>III</t>
  </si>
  <si>
    <t>V</t>
  </si>
  <si>
    <t>VI</t>
  </si>
  <si>
    <t>VII</t>
  </si>
  <si>
    <t>VIII</t>
  </si>
  <si>
    <t>IX</t>
  </si>
  <si>
    <t>X</t>
  </si>
  <si>
    <t>XI</t>
  </si>
  <si>
    <t>XII</t>
  </si>
  <si>
    <t>godz. Od</t>
  </si>
  <si>
    <t>symbol*</t>
  </si>
  <si>
    <t>nadgodziny 50</t>
  </si>
  <si>
    <t>nadgodziny 100</t>
  </si>
  <si>
    <t>godz. Do</t>
  </si>
  <si>
    <t>Status zatrudnienia</t>
  </si>
  <si>
    <r>
      <t xml:space="preserve">liczba godzin
</t>
    </r>
    <r>
      <rPr>
        <sz val="7"/>
        <color theme="1"/>
        <rFont val="Calibri"/>
        <family val="2"/>
        <charset val="238"/>
        <scheme val="minor"/>
      </rPr>
      <t>(bez nadgodzin)</t>
    </r>
  </si>
  <si>
    <t>nadgodizny 50</t>
  </si>
  <si>
    <t>praca etat</t>
  </si>
  <si>
    <t>Imię i nazwisko pracownika</t>
  </si>
  <si>
    <t>Stanowisko pracy:</t>
  </si>
  <si>
    <t>Podsumowanie czasu pracy [h]</t>
  </si>
  <si>
    <t>Miesiąc</t>
  </si>
  <si>
    <t>święto</t>
  </si>
  <si>
    <t>niedziela</t>
  </si>
  <si>
    <t>sobota</t>
  </si>
  <si>
    <t>Dni miesiąca</t>
  </si>
  <si>
    <t xml:space="preserve">          *PE - "praca-etat"; 'NG-nadgodziny'; PD - 'praca-dodatkowa'; pozostałe zgodnie z typami nieobecnosci</t>
  </si>
  <si>
    <t>Ilość pracowników bez uzupełnionego urlopu:</t>
  </si>
  <si>
    <t xml:space="preserve">Rok </t>
  </si>
  <si>
    <t>Podsumowanie ilości dni dla nieobecności [dni trwania]</t>
  </si>
  <si>
    <t>L4**</t>
  </si>
  <si>
    <t xml:space="preserve">          **L4 liczone i wyświeltane jako dni trwania; pozostałe - liczone i wyświetlane jako dni robocze</t>
  </si>
  <si>
    <t>L.p.</t>
  </si>
  <si>
    <t xml:space="preserve">Nazwisko i imię pracownika </t>
  </si>
  <si>
    <t>Data wystawienia</t>
  </si>
  <si>
    <t>Ilość dni trwania</t>
  </si>
  <si>
    <t>Rodzaj nieobecności</t>
  </si>
  <si>
    <t>Do</t>
  </si>
  <si>
    <t>W Y K A Z    W S Z Y S T K I C H    N I E O B E C N O Ś C I    W    W Y B R A N Y M    O K R E S I E</t>
  </si>
  <si>
    <t xml:space="preserve">Okres trwania </t>
  </si>
  <si>
    <t>Ilość dni*</t>
  </si>
  <si>
    <t>* zgodnie z metodyką wyświetlania rekordów</t>
  </si>
  <si>
    <t>Data OD:</t>
  </si>
  <si>
    <t>Data DO:</t>
  </si>
  <si>
    <t>odbiór za:</t>
  </si>
  <si>
    <t xml:space="preserve">     Zestawiene wygenerowano dla okresu:</t>
  </si>
  <si>
    <t xml:space="preserve">Uzupełniona Ewidencja?  </t>
  </si>
  <si>
    <t>Nieobecności liczona w dniach roboczych dla wszystkich typów z wyłączeniem "L4", gdzie liczone są dni trwania</t>
  </si>
  <si>
    <t>L4*</t>
  </si>
  <si>
    <t>Uwagi</t>
  </si>
  <si>
    <t>Opieka</t>
  </si>
  <si>
    <t>krew</t>
  </si>
  <si>
    <t>Nadanie pracowniczego przydziału mobilizacyjnego</t>
  </si>
  <si>
    <t>S T A N    U R L O P U     N A    W Y B R A N Y   D Z I E Ń</t>
  </si>
  <si>
    <t>nazwisko, imię, oznaczenie</t>
  </si>
  <si>
    <t>SUMA</t>
  </si>
  <si>
    <t>SUMA CZĘŚCIOWA</t>
  </si>
  <si>
    <t>Stan urlopu wygenerowany dla wybranego dnia</t>
  </si>
  <si>
    <t>ilość pozostałych dni</t>
  </si>
  <si>
    <t>N I E W Y K O R Z Y S T A N Y    U R L O P   -   T R A N S F E R</t>
  </si>
  <si>
    <t>Niewykorzystany Urlop</t>
  </si>
  <si>
    <t>ilość dni</t>
  </si>
  <si>
    <t>Dokonane transfery za wybrany rok</t>
  </si>
  <si>
    <t xml:space="preserve">Uzupełniony Urlop?            </t>
  </si>
  <si>
    <t xml:space="preserve">Wykaz nieobecności           </t>
  </si>
  <si>
    <t xml:space="preserve">Ewidencja miesięczna        </t>
  </si>
  <si>
    <t xml:space="preserve">Rozliczenie pracy                </t>
  </si>
  <si>
    <t xml:space="preserve">Odbiór dni                            </t>
  </si>
  <si>
    <t xml:space="preserve">Stan urlopu na piony          </t>
  </si>
  <si>
    <t xml:space="preserve">Ewidencja roczna                </t>
  </si>
  <si>
    <t xml:space="preserve">Stan urlopu na dzień          </t>
  </si>
  <si>
    <t xml:space="preserve">Dni urlopu                           </t>
  </si>
  <si>
    <t xml:space="preserve">Grupy                                    </t>
  </si>
  <si>
    <t xml:space="preserve">Zmiany                                  </t>
  </si>
  <si>
    <t xml:space="preserve">Święta                                   </t>
  </si>
  <si>
    <t xml:space="preserve">Typy nieobecności              </t>
  </si>
  <si>
    <t>Autor programu:</t>
  </si>
  <si>
    <t>Marcin Maćkowiak</t>
  </si>
  <si>
    <t>608576612</t>
  </si>
  <si>
    <t>www.mmackowiak.pl</t>
  </si>
  <si>
    <t>Aktualnie zatrudnieni:</t>
  </si>
  <si>
    <t>Wszyscy:</t>
  </si>
  <si>
    <t>Pracownicy</t>
  </si>
  <si>
    <t xml:space="preserve">Jesteś zalogowany jako: </t>
  </si>
  <si>
    <t>Dzisiaj jest:</t>
  </si>
  <si>
    <t>Dni Urlopu</t>
  </si>
  <si>
    <t>Pozostało rok poprzedni:</t>
  </si>
  <si>
    <t>Pozostało rok aktualny:</t>
  </si>
  <si>
    <t>Ikony pochodzą ze strony: https://www.flaticon.com/</t>
  </si>
  <si>
    <t>DOKUMENTACJA</t>
  </si>
  <si>
    <t>styczeń</t>
  </si>
  <si>
    <t>Ostania aktualizacja programu:</t>
  </si>
  <si>
    <t xml:space="preserve">mechanik </t>
  </si>
  <si>
    <t>HENRYKA ALBIN</t>
  </si>
  <si>
    <t>Wygenerowano: 08.04.2023 10:54:22</t>
  </si>
  <si>
    <t>EWELINA Zdziśiu</t>
  </si>
  <si>
    <t>Poziomka ABIGAIL</t>
  </si>
  <si>
    <t>OLIVIA VLADIMIR</t>
  </si>
  <si>
    <t>MAKSIM OREST</t>
  </si>
  <si>
    <t>Poziomka TYMOTEUSZ</t>
  </si>
  <si>
    <t>ALBERT MAGDA</t>
  </si>
  <si>
    <t>OLIWIER WALDEMAR</t>
  </si>
  <si>
    <t>ALBIN HENRYKA</t>
  </si>
  <si>
    <t>MONIKA DORIAN</t>
  </si>
  <si>
    <t>MAKSIM KORDIAN</t>
  </si>
  <si>
    <t>ELISABETH MIKITA</t>
  </si>
  <si>
    <t>KUBA Zdziśiu</t>
  </si>
  <si>
    <t>ALEKSANDRA ERYK</t>
  </si>
  <si>
    <t>WŁADYSŁAWA ELENA</t>
  </si>
  <si>
    <t>HRYHORII OREST</t>
  </si>
  <si>
    <t>EDWARD MIRON</t>
  </si>
  <si>
    <t>Poziomka Zdziśiu</t>
  </si>
  <si>
    <t>VITALI HRYHORII</t>
  </si>
  <si>
    <t>MAGDA ALIAKSANDR</t>
  </si>
  <si>
    <t>SERHIY PETRO</t>
  </si>
  <si>
    <t>WIKTORIA OREST</t>
  </si>
  <si>
    <t>KUBA MAXIM</t>
  </si>
  <si>
    <t>TOBIASZ ROKSANA</t>
  </si>
  <si>
    <t>HUGO ALIAKSANDR</t>
  </si>
  <si>
    <t>GRAŻYNA PRAKSEDA</t>
  </si>
  <si>
    <t>Poziomka ANTONIA</t>
  </si>
  <si>
    <t>JANINA ROKSANA</t>
  </si>
  <si>
    <t>KUBA HENRYKA</t>
  </si>
  <si>
    <t>ZDZISŁAWA HENRYKA</t>
  </si>
  <si>
    <t>POLA ANTHONY</t>
  </si>
  <si>
    <t>KRYSTYNA ERYK</t>
  </si>
  <si>
    <t>FRANCISZKA MICHALINA</t>
  </si>
  <si>
    <t>GENOWEFA AURORA</t>
  </si>
  <si>
    <t>LUCJA DORIAN</t>
  </si>
  <si>
    <t>SERGHEI TAMARA</t>
  </si>
  <si>
    <t>OP</t>
  </si>
  <si>
    <t>Poziomka NIKOL</t>
  </si>
  <si>
    <t>OLIWIER EMMA</t>
  </si>
  <si>
    <t>LILIANNA ARTSIOM</t>
  </si>
  <si>
    <t>CAROLINA Zdziśiu</t>
  </si>
  <si>
    <t>WIOLETA VLADIMIR</t>
  </si>
  <si>
    <t>Poziomka BRYGIDA</t>
  </si>
  <si>
    <t>VLADIMIR ROKSANA</t>
  </si>
  <si>
    <t>Poziomka DZIANIS</t>
  </si>
  <si>
    <t>KEVIN VADZIM</t>
  </si>
  <si>
    <t>VLADYSLAV HENRYKA</t>
  </si>
  <si>
    <t>EDELTRAUDA ELFRYDA</t>
  </si>
  <si>
    <t>EDELTRAUDA GENOWEFA</t>
  </si>
  <si>
    <t>Poziomka MICHALINA</t>
  </si>
  <si>
    <t>31.01.2023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</si>
</sst>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F400]h:mm:ss\ AM/PM"/>
    <numFmt numFmtId="165" formatCode="h:mm;@"/>
    <numFmt numFmtId="166" formatCode="[h]:mm:ss;@"/>
    <numFmt numFmtId="167" formatCode="[h]:mm;@"/>
    <numFmt numFmtId="168" formatCode="[h]:mm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charset val="238"/>
      <scheme val="minor"/>
    </font>
    <font>
      <b/>
      <sz val="8"/>
      <color theme="1"/>
      <name val="Calibri"/>
      <family val="2"/>
      <charset val="238"/>
      <scheme val="minor"/>
    </font>
    <font>
      <b/>
      <sz val="9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Calibri"/>
      <family val="2"/>
      <charset val="238"/>
      <scheme val="minor"/>
    </font>
    <font>
      <b/>
      <u/>
      <sz val="11"/>
      <color theme="1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  <scheme val="minor"/>
    </font>
    <font>
      <u/>
      <sz val="11"/>
      <color rgb="FF000000"/>
      <name val="Calibri"/>
      <family val="2"/>
      <charset val="238"/>
    </font>
    <font>
      <sz val="11"/>
      <color rgb="FF000000"/>
      <name val="Calibri"/>
      <family val="2"/>
      <charset val="238"/>
    </font>
    <font>
      <b/>
      <sz val="11"/>
      <color rgb="FF000000"/>
      <name val="Calibri"/>
      <family val="2"/>
      <charset val="238"/>
    </font>
    <font>
      <sz val="10"/>
      <color rgb="FF000000"/>
      <name val="Calibri"/>
      <family val="2"/>
      <charset val="238"/>
    </font>
    <font>
      <b/>
      <sz val="12"/>
      <color rgb="FF000000"/>
      <name val="Calibri"/>
      <family val="2"/>
      <charset val="238"/>
    </font>
    <font>
      <b/>
      <sz val="14"/>
      <color rgb="FF000000"/>
      <name val="Calibri"/>
      <family val="2"/>
      <charset val="238"/>
    </font>
    <font>
      <sz val="7"/>
      <color theme="1"/>
      <name val="Calibri"/>
      <family val="2"/>
      <charset val="238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charset val="238"/>
      <scheme val="minor"/>
    </font>
    <font>
      <u/>
      <sz val="11"/>
      <color theme="1"/>
      <name val="Calibri"/>
      <family val="2"/>
      <scheme val="minor"/>
    </font>
    <font>
      <b/>
      <u/>
      <sz val="16"/>
      <name val="Calibri"/>
      <family val="2"/>
      <scheme val="minor"/>
    </font>
    <font>
      <sz val="6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CC4EE"/>
        <bgColor indexed="64"/>
      </patternFill>
    </fill>
    <fill>
      <patternFill patternType="solid">
        <fgColor rgb="FFAFCAFF"/>
        <bgColor indexed="64"/>
      </patternFill>
    </fill>
    <fill>
      <patternFill patternType="solid">
        <fgColor rgb="FFFF85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E9FE"/>
        <bgColor indexed="64"/>
      </patternFill>
    </fill>
  </fills>
  <borders count="9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1"/>
      </right>
      <top style="medium">
        <color theme="1"/>
      </top>
      <bottom style="thin">
        <color theme="0" tint="-0.499984740745262"/>
      </bottom>
      <diagonal/>
    </border>
    <border>
      <left style="medium">
        <color theme="1"/>
      </left>
      <right/>
      <top/>
      <bottom/>
      <diagonal/>
    </border>
    <border>
      <left style="thin">
        <color theme="0" tint="-0.499984740745262"/>
      </left>
      <right style="medium">
        <color theme="1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1"/>
      </left>
      <right/>
      <top/>
      <bottom style="medium">
        <color theme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1"/>
      </bottom>
      <diagonal/>
    </border>
    <border>
      <left style="thin">
        <color theme="0" tint="-0.499984740745262"/>
      </left>
      <right style="medium">
        <color theme="1"/>
      </right>
      <top style="thin">
        <color theme="0" tint="-0.499984740745262"/>
      </top>
      <bottom style="medium">
        <color theme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medium">
        <color theme="1"/>
      </right>
      <top style="thin">
        <color theme="0" tint="-0.499984740745262"/>
      </top>
      <bottom/>
      <diagonal/>
    </border>
    <border>
      <left style="medium">
        <color theme="1"/>
      </left>
      <right/>
      <top style="medium">
        <color indexed="64"/>
      </top>
      <bottom/>
      <diagonal/>
    </border>
    <border>
      <left style="medium">
        <color theme="1"/>
      </left>
      <right/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 diagonalUp="1" diagonalDown="1">
      <left style="thin">
        <color theme="0" tint="-0.499984740745262"/>
      </left>
      <right style="medium">
        <color theme="1"/>
      </right>
      <top style="medium">
        <color theme="1"/>
      </top>
      <bottom/>
      <diagonal style="thin">
        <color theme="0" tint="-0.499984740745262"/>
      </diagonal>
    </border>
    <border diagonalUp="1" diagonalDown="1">
      <left style="thin">
        <color theme="0" tint="-0.499984740745262"/>
      </left>
      <right style="medium">
        <color theme="1"/>
      </right>
      <top/>
      <bottom/>
      <diagonal style="thin">
        <color theme="0" tint="-0.499984740745262"/>
      </diagonal>
    </border>
    <border diagonalUp="1" diagonalDown="1">
      <left style="thin">
        <color theme="0" tint="-0.499984740745262"/>
      </left>
      <right style="medium">
        <color theme="1"/>
      </right>
      <top/>
      <bottom style="medium">
        <color theme="1"/>
      </bottom>
      <diagonal style="thin">
        <color theme="0" tint="-0.499984740745262"/>
      </diagonal>
    </border>
    <border diagonalUp="1" diagonalDown="1">
      <left/>
      <right style="medium">
        <color theme="1"/>
      </right>
      <top style="medium">
        <color theme="1"/>
      </top>
      <bottom/>
      <diagonal style="thin">
        <color theme="0" tint="-0.499984740745262"/>
      </diagonal>
    </border>
    <border diagonalUp="1" diagonalDown="1">
      <left/>
      <right style="medium">
        <color theme="1"/>
      </right>
      <top/>
      <bottom/>
      <diagonal style="thin">
        <color theme="0" tint="-0.499984740745262"/>
      </diagonal>
    </border>
    <border diagonalUp="1" diagonalDown="1">
      <left/>
      <right style="medium">
        <color theme="1"/>
      </right>
      <top/>
      <bottom style="medium">
        <color theme="1"/>
      </bottom>
      <diagonal style="thin">
        <color theme="0" tint="-0.499984740745262"/>
      </diagonal>
    </border>
    <border diagonalUp="1" diagonalDown="1">
      <left style="thin">
        <color theme="0" tint="-0.499984740745262"/>
      </left>
      <right/>
      <top style="medium">
        <color theme="1"/>
      </top>
      <bottom/>
      <diagonal style="thin">
        <color theme="0" tint="-0.499984740745262"/>
      </diagonal>
    </border>
    <border diagonalUp="1" diagonalDown="1">
      <left style="thin">
        <color theme="0" tint="-0.499984740745262"/>
      </left>
      <right/>
      <top/>
      <bottom/>
      <diagonal style="thin">
        <color theme="0" tint="-0.499984740745262"/>
      </diagonal>
    </border>
    <border diagonalUp="1" diagonalDown="1">
      <left style="thin">
        <color theme="0" tint="-0.499984740745262"/>
      </left>
      <right/>
      <top/>
      <bottom style="medium">
        <color theme="1"/>
      </bottom>
      <diagonal style="thin">
        <color theme="0" tint="-0.499984740745262"/>
      </diagonal>
    </border>
    <border>
      <left style="medium">
        <color theme="1"/>
      </left>
      <right style="thin">
        <color theme="1"/>
      </right>
      <top style="medium">
        <color indexed="64"/>
      </top>
      <bottom/>
      <diagonal/>
    </border>
    <border>
      <left style="medium">
        <color theme="1"/>
      </left>
      <right style="thin">
        <color theme="1"/>
      </right>
      <top/>
      <bottom/>
      <diagonal/>
    </border>
    <border>
      <left style="medium">
        <color theme="1"/>
      </left>
      <right style="thin">
        <color theme="1"/>
      </right>
      <top/>
      <bottom style="medium">
        <color indexed="64"/>
      </bottom>
      <diagonal/>
    </border>
    <border>
      <left/>
      <right style="thin">
        <color theme="1"/>
      </right>
      <top style="medium">
        <color indexed="64"/>
      </top>
      <bottom/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/>
      <diagonal/>
    </border>
    <border>
      <left style="thin">
        <color theme="1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theme="1"/>
      </right>
      <top style="medium">
        <color theme="1"/>
      </top>
      <bottom/>
      <diagonal/>
    </border>
    <border>
      <left style="thin">
        <color theme="1"/>
      </left>
      <right style="medium">
        <color theme="1"/>
      </right>
      <top style="medium">
        <color indexed="64"/>
      </top>
      <bottom/>
      <diagonal/>
    </border>
    <border>
      <left style="thin">
        <color theme="1"/>
      </left>
      <right style="medium">
        <color theme="1"/>
      </right>
      <top/>
      <bottom/>
      <diagonal/>
    </border>
    <border>
      <left style="thin">
        <color theme="1"/>
      </left>
      <right style="medium">
        <color theme="1"/>
      </right>
      <top/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/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/>
      <right style="medium">
        <color theme="1"/>
      </right>
      <top/>
      <bottom style="medium">
        <color indexed="64"/>
      </bottom>
      <diagonal/>
    </border>
    <border>
      <left/>
      <right/>
      <top style="medium">
        <color theme="1"/>
      </top>
      <bottom/>
      <diagonal/>
    </border>
    <border>
      <left style="medium">
        <color theme="1"/>
      </left>
      <right style="thin">
        <color theme="0" tint="-0.499984740745262"/>
      </right>
      <top/>
      <bottom style="medium">
        <color theme="1"/>
      </bottom>
      <diagonal/>
    </border>
    <border>
      <left style="medium">
        <color theme="1"/>
      </left>
      <right style="thin">
        <color theme="0" tint="-0.499984740745262"/>
      </right>
      <top style="medium">
        <color theme="1"/>
      </top>
      <bottom/>
      <diagonal/>
    </border>
    <border>
      <left style="medium">
        <color theme="1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1"/>
      </right>
      <top style="medium">
        <color indexed="64"/>
      </top>
      <bottom style="thin">
        <color theme="0" tint="-0.499984740745262"/>
      </bottom>
      <diagonal/>
    </border>
    <border>
      <left style="medium">
        <color indexed="64"/>
      </left>
      <right/>
      <top/>
      <bottom style="medium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/>
      <diagonal/>
    </border>
    <border>
      <left/>
      <right/>
      <top style="medium">
        <color theme="0" tint="-0.34998626667073579"/>
      </top>
      <bottom/>
      <diagonal/>
    </border>
    <border>
      <left/>
      <right style="medium">
        <color theme="0" tint="-0.34998626667073579"/>
      </right>
      <top style="medium">
        <color theme="0" tint="-0.34998626667073579"/>
      </top>
      <bottom/>
      <diagonal/>
    </border>
    <border>
      <left style="medium">
        <color theme="0" tint="-0.34998626667073579"/>
      </left>
      <right/>
      <top/>
      <bottom/>
      <diagonal/>
    </border>
    <border>
      <left/>
      <right style="medium">
        <color theme="0" tint="-0.34998626667073579"/>
      </right>
      <top/>
      <bottom/>
      <diagonal/>
    </border>
    <border>
      <left style="medium">
        <color theme="0" tint="-0.34998626667073579"/>
      </left>
      <right/>
      <top/>
      <bottom style="medium">
        <color theme="0" tint="-0.34998626667073579"/>
      </bottom>
      <diagonal/>
    </border>
    <border>
      <left/>
      <right/>
      <top/>
      <bottom style="medium">
        <color theme="0" tint="-0.34998626667073579"/>
      </bottom>
      <diagonal/>
    </border>
    <border>
      <left/>
      <right style="medium">
        <color theme="0" tint="-0.34998626667073579"/>
      </right>
      <top/>
      <bottom style="medium">
        <color theme="0" tint="-0.34998626667073579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351">
    <xf numFmtId="0" fontId="0" fillId="0" borderId="0" xfId="0"/>
    <xf numFmtId="0" fontId="0" fillId="2" borderId="0" xfId="0" applyFill="1"/>
    <xf numFmtId="0" fontId="0" fillId="2" borderId="1" xfId="0" applyFill="1" applyBorder="1"/>
    <xf numFmtId="0" fontId="6" fillId="2" borderId="0" xfId="0" applyFont="1" applyFill="1"/>
    <xf numFmtId="0" fontId="4" fillId="3" borderId="2" xfId="0" applyFont="1" applyFill="1" applyBorder="1"/>
    <xf numFmtId="0" fontId="0" fillId="0" borderId="2" xfId="0" applyBorder="1"/>
    <xf numFmtId="14" fontId="0" fillId="0" borderId="2" xfId="0" applyNumberFormat="1" applyBorder="1"/>
    <xf numFmtId="14" fontId="0" fillId="0" borderId="0" xfId="0" applyNumberFormat="1"/>
    <xf numFmtId="0" fontId="0" fillId="4" borderId="0" xfId="0" applyFill="1"/>
    <xf numFmtId="0" fontId="6" fillId="4" borderId="0" xfId="0" applyFont="1" applyFill="1"/>
    <xf numFmtId="0" fontId="0" fillId="4" borderId="1" xfId="0" applyFill="1" applyBorder="1"/>
    <xf numFmtId="0" fontId="5" fillId="3" borderId="2" xfId="0" applyFont="1" applyFill="1" applyBorder="1"/>
    <xf numFmtId="0" fontId="5" fillId="3" borderId="2" xfId="0" applyFont="1" applyFill="1" applyBorder="1" applyAlignment="1">
      <alignment wrapText="1"/>
    </xf>
    <xf numFmtId="20" fontId="0" fillId="0" borderId="2" xfId="0" applyNumberFormat="1" applyBorder="1"/>
    <xf numFmtId="164" fontId="0" fillId="0" borderId="2" xfId="0" applyNumberFormat="1" applyBorder="1"/>
    <xf numFmtId="164" fontId="0" fillId="0" borderId="0" xfId="0" applyNumberFormat="1"/>
    <xf numFmtId="20" fontId="0" fillId="0" borderId="0" xfId="0" applyNumberFormat="1"/>
    <xf numFmtId="0" fontId="8" fillId="0" borderId="0" xfId="0" applyFont="1"/>
    <xf numFmtId="0" fontId="0" fillId="0" borderId="0" xfId="0" applyAlignment="1">
      <alignment horizontal="center"/>
    </xf>
    <xf numFmtId="0" fontId="0" fillId="0" borderId="2" xfId="0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0" fillId="4" borderId="0" xfId="0" applyFill="1" applyAlignment="1">
      <alignment wrapText="1"/>
    </xf>
    <xf numFmtId="0" fontId="0" fillId="4" borderId="1" xfId="0" applyFill="1" applyBorder="1" applyAlignment="1">
      <alignment wrapText="1"/>
    </xf>
    <xf numFmtId="0" fontId="0" fillId="0" borderId="0" xfId="0" applyAlignment="1">
      <alignment wrapText="1"/>
    </xf>
    <xf numFmtId="0" fontId="0" fillId="0" borderId="2" xfId="0" applyBorder="1" applyAlignment="1">
      <alignment wrapText="1"/>
    </xf>
    <xf numFmtId="164" fontId="0" fillId="0" borderId="2" xfId="0" applyNumberFormat="1" applyBorder="1" applyAlignment="1">
      <alignment wrapText="1"/>
    </xf>
    <xf numFmtId="0" fontId="0" fillId="0" borderId="0" xfId="0" applyAlignment="1">
      <alignment horizontal="right"/>
    </xf>
    <xf numFmtId="0" fontId="4" fillId="6" borderId="2" xfId="0" applyFont="1" applyFill="1" applyBorder="1" applyAlignment="1">
      <alignment wrapText="1"/>
    </xf>
    <xf numFmtId="0" fontId="4" fillId="6" borderId="3" xfId="0" applyFont="1" applyFill="1" applyBorder="1" applyAlignment="1">
      <alignment wrapText="1"/>
    </xf>
    <xf numFmtId="0" fontId="7" fillId="5" borderId="2" xfId="0" applyFont="1" applyFill="1" applyBorder="1" applyAlignment="1">
      <alignment horizontal="center" vertical="center"/>
    </xf>
    <xf numFmtId="0" fontId="4" fillId="0" borderId="0" xfId="0" applyFont="1" applyAlignment="1">
      <alignment horizontal="right"/>
    </xf>
    <xf numFmtId="0" fontId="10" fillId="6" borderId="2" xfId="0" applyFont="1" applyFill="1" applyBorder="1" applyAlignment="1">
      <alignment wrapText="1"/>
    </xf>
    <xf numFmtId="14" fontId="0" fillId="0" borderId="3" xfId="0" applyNumberFormat="1" applyBorder="1"/>
    <xf numFmtId="0" fontId="0" fillId="0" borderId="3" xfId="0" applyBorder="1"/>
    <xf numFmtId="0" fontId="0" fillId="0" borderId="0" xfId="0" applyAlignment="1">
      <alignment horizontal="center" vertical="center" wrapText="1"/>
    </xf>
    <xf numFmtId="1" fontId="0" fillId="2" borderId="0" xfId="0" applyNumberFormat="1" applyFill="1"/>
    <xf numFmtId="1" fontId="0" fillId="2" borderId="1" xfId="0" applyNumberFormat="1" applyFill="1" applyBorder="1"/>
    <xf numFmtId="1" fontId="4" fillId="0" borderId="0" xfId="0" applyNumberFormat="1" applyFont="1" applyAlignment="1">
      <alignment horizontal="right"/>
    </xf>
    <xf numFmtId="1" fontId="0" fillId="0" borderId="0" xfId="0" applyNumberFormat="1" applyAlignment="1">
      <alignment horizontal="right"/>
    </xf>
    <xf numFmtId="1" fontId="0" fillId="0" borderId="0" xfId="0" applyNumberFormat="1"/>
    <xf numFmtId="1" fontId="4" fillId="6" borderId="3" xfId="0" applyNumberFormat="1" applyFont="1" applyFill="1" applyBorder="1" applyAlignment="1">
      <alignment wrapText="1"/>
    </xf>
    <xf numFmtId="1" fontId="0" fillId="0" borderId="2" xfId="0" applyNumberFormat="1" applyBorder="1"/>
    <xf numFmtId="1" fontId="0" fillId="0" borderId="3" xfId="0" applyNumberFormat="1" applyBorder="1"/>
    <xf numFmtId="165" fontId="0" fillId="0" borderId="2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Font="1"/>
    <xf numFmtId="0" fontId="0" fillId="2" borderId="0" xfId="0" applyFill="1" applyAlignment="1">
      <alignment wrapText="1"/>
    </xf>
    <xf numFmtId="0" fontId="0" fillId="2" borderId="1" xfId="0" applyFill="1" applyBorder="1" applyAlignment="1">
      <alignment wrapText="1"/>
    </xf>
    <xf numFmtId="0" fontId="4" fillId="3" borderId="2" xfId="0" applyFont="1" applyFill="1" applyBorder="1" applyAlignment="1">
      <alignment wrapText="1"/>
    </xf>
    <xf numFmtId="0" fontId="0" fillId="0" borderId="0" xfId="0" applyAlignment="1">
      <alignment horizontal="right" vertical="top"/>
    </xf>
    <xf numFmtId="2" fontId="0" fillId="0" borderId="2" xfId="0" applyNumberForma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/>
    <xf numFmtId="166" fontId="0" fillId="0" borderId="2" xfId="0" applyNumberFormat="1" applyBorder="1"/>
    <xf numFmtId="1" fontId="0" fillId="4" borderId="2" xfId="0" applyNumberFormat="1" applyFill="1" applyBorder="1" applyAlignment="1">
      <alignment horizontal="center" vertical="center"/>
    </xf>
    <xf numFmtId="1" fontId="0" fillId="4" borderId="2" xfId="0" applyNumberFormat="1" applyFill="1" applyBorder="1"/>
    <xf numFmtId="0" fontId="0" fillId="4" borderId="2" xfId="0" applyFill="1" applyBorder="1" applyAlignment="1">
      <alignment horizontal="center" vertical="center"/>
    </xf>
    <xf numFmtId="164" fontId="0" fillId="0" borderId="0" xfId="0" applyNumberFormat="1" applyAlignment="1">
      <alignment horizontal="left" vertical="center"/>
    </xf>
    <xf numFmtId="164" fontId="13" fillId="0" borderId="0" xfId="0" applyNumberFormat="1" applyFont="1" applyAlignment="1">
      <alignment horizontal="left" vertical="center"/>
    </xf>
    <xf numFmtId="0" fontId="12" fillId="4" borderId="2" xfId="0" applyFont="1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4" fillId="4" borderId="0" xfId="0" applyFont="1" applyFill="1"/>
    <xf numFmtId="0" fontId="0" fillId="4" borderId="4" xfId="0" applyFill="1" applyBorder="1"/>
    <xf numFmtId="0" fontId="16" fillId="4" borderId="4" xfId="1" applyFont="1" applyFill="1" applyBorder="1"/>
    <xf numFmtId="0" fontId="16" fillId="4" borderId="4" xfId="0" applyFont="1" applyFill="1" applyBorder="1"/>
    <xf numFmtId="0" fontId="14" fillId="4" borderId="4" xfId="0" applyFont="1" applyFill="1" applyBorder="1"/>
    <xf numFmtId="0" fontId="8" fillId="0" borderId="5" xfId="0" applyFont="1" applyBorder="1"/>
    <xf numFmtId="0" fontId="11" fillId="0" borderId="5" xfId="0" applyFont="1" applyBorder="1"/>
    <xf numFmtId="0" fontId="8" fillId="2" borderId="0" xfId="0" applyFont="1" applyFill="1"/>
    <xf numFmtId="0" fontId="17" fillId="2" borderId="0" xfId="0" applyFont="1" applyFill="1"/>
    <xf numFmtId="0" fontId="0" fillId="4" borderId="9" xfId="0" applyFill="1" applyBorder="1"/>
    <xf numFmtId="0" fontId="0" fillId="4" borderId="10" xfId="0" applyFill="1" applyBorder="1"/>
    <xf numFmtId="0" fontId="0" fillId="4" borderId="0" xfId="0" applyFill="1" applyAlignment="1">
      <alignment horizontal="right"/>
    </xf>
    <xf numFmtId="0" fontId="0" fillId="4" borderId="11" xfId="0" applyFill="1" applyBorder="1"/>
    <xf numFmtId="0" fontId="0" fillId="4" borderId="5" xfId="0" applyFill="1" applyBorder="1"/>
    <xf numFmtId="0" fontId="0" fillId="4" borderId="12" xfId="0" applyFill="1" applyBorder="1"/>
    <xf numFmtId="0" fontId="0" fillId="6" borderId="6" xfId="0" applyFill="1" applyBorder="1"/>
    <xf numFmtId="0" fontId="18" fillId="6" borderId="7" xfId="0" applyFont="1" applyFill="1" applyBorder="1"/>
    <xf numFmtId="0" fontId="0" fillId="6" borderId="7" xfId="0" applyFill="1" applyBorder="1"/>
    <xf numFmtId="0" fontId="0" fillId="6" borderId="8" xfId="0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19" fillId="3" borderId="2" xfId="0" applyFont="1" applyFill="1" applyBorder="1" applyAlignment="1">
      <alignment horizontal="center" vertical="center" wrapText="1"/>
    </xf>
    <xf numFmtId="0" fontId="20" fillId="2" borderId="0" xfId="0" applyFont="1" applyFill="1"/>
    <xf numFmtId="0" fontId="8" fillId="2" borderId="0" xfId="0" applyFont="1" applyFill="1" applyAlignment="1">
      <alignment horizontal="left" indent="5"/>
    </xf>
    <xf numFmtId="0" fontId="10" fillId="3" borderId="2" xfId="0" applyFont="1" applyFill="1" applyBorder="1" applyAlignment="1">
      <alignment horizontal="center" vertical="center" wrapText="1"/>
    </xf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2" borderId="2" xfId="0" applyFill="1" applyBorder="1"/>
    <xf numFmtId="14" fontId="0" fillId="2" borderId="2" xfId="0" applyNumberFormat="1" applyFill="1" applyBorder="1"/>
    <xf numFmtId="22" fontId="0" fillId="2" borderId="2" xfId="0" applyNumberFormat="1" applyFill="1" applyBorder="1"/>
    <xf numFmtId="14" fontId="0" fillId="0" borderId="2" xfId="0" applyNumberFormat="1" applyBorder="1" applyAlignment="1">
      <alignment wrapText="1"/>
    </xf>
    <xf numFmtId="14" fontId="0" fillId="0" borderId="0" xfId="0" applyNumberFormat="1" applyAlignment="1">
      <alignment wrapText="1"/>
    </xf>
    <xf numFmtId="14" fontId="0" fillId="7" borderId="3" xfId="0" applyNumberFormat="1" applyFill="1" applyBorder="1" applyAlignment="1">
      <alignment horizontal="center" vertical="center"/>
    </xf>
    <xf numFmtId="0" fontId="6" fillId="2" borderId="0" xfId="0" applyFont="1" applyFill="1" applyAlignment="1">
      <alignment horizontal="left" vertical="top" indent="5"/>
    </xf>
    <xf numFmtId="0" fontId="0" fillId="2" borderId="0" xfId="0" applyFill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167" fontId="0" fillId="0" borderId="2" xfId="0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0" fillId="4" borderId="6" xfId="0" applyFill="1" applyBorder="1" applyAlignment="1">
      <alignment wrapText="1"/>
    </xf>
    <xf numFmtId="0" fontId="0" fillId="4" borderId="7" xfId="0" applyFill="1" applyBorder="1" applyAlignment="1">
      <alignment wrapText="1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wrapText="1"/>
    </xf>
    <xf numFmtId="0" fontId="0" fillId="4" borderId="0" xfId="0" applyFill="1" applyAlignment="1">
      <alignment horizontal="right" wrapText="1"/>
    </xf>
    <xf numFmtId="0" fontId="0" fillId="4" borderId="0" xfId="0" applyFill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wrapText="1"/>
    </xf>
    <xf numFmtId="0" fontId="0" fillId="4" borderId="5" xfId="0" applyFill="1" applyBorder="1" applyAlignment="1">
      <alignment wrapText="1"/>
    </xf>
    <xf numFmtId="0" fontId="0" fillId="4" borderId="5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4" fillId="4" borderId="0" xfId="0" applyFont="1" applyFill="1" applyAlignment="1">
      <alignment horizontal="right"/>
    </xf>
    <xf numFmtId="14" fontId="0" fillId="2" borderId="2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4" xfId="0" applyBorder="1"/>
    <xf numFmtId="0" fontId="0" fillId="0" borderId="1" xfId="0" applyBorder="1"/>
    <xf numFmtId="0" fontId="0" fillId="0" borderId="15" xfId="0" applyBorder="1"/>
    <xf numFmtId="0" fontId="0" fillId="0" borderId="17" xfId="0" applyBorder="1"/>
    <xf numFmtId="0" fontId="17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0" fontId="4" fillId="0" borderId="1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 wrapText="1"/>
    </xf>
    <xf numFmtId="0" fontId="13" fillId="0" borderId="21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0" fillId="0" borderId="24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29" fillId="0" borderId="29" xfId="0" applyFont="1" applyBorder="1" applyAlignment="1">
      <alignment horizontal="center" vertical="center"/>
    </xf>
    <xf numFmtId="0" fontId="29" fillId="0" borderId="31" xfId="0" applyFont="1" applyBorder="1" applyAlignment="1">
      <alignment horizontal="center" vertical="center"/>
    </xf>
    <xf numFmtId="14" fontId="0" fillId="2" borderId="0" xfId="0" applyNumberFormat="1" applyFill="1"/>
    <xf numFmtId="0" fontId="0" fillId="9" borderId="0" xfId="0" applyFill="1"/>
    <xf numFmtId="0" fontId="0" fillId="10" borderId="0" xfId="0" applyFill="1"/>
    <xf numFmtId="0" fontId="0" fillId="8" borderId="0" xfId="0" applyFill="1"/>
    <xf numFmtId="14" fontId="0" fillId="0" borderId="24" xfId="0" applyNumberFormat="1" applyBorder="1" applyAlignment="1">
      <alignment horizontal="center" vertical="center"/>
    </xf>
    <xf numFmtId="2" fontId="0" fillId="0" borderId="24" xfId="0" applyNumberFormat="1" applyBorder="1" applyAlignment="1">
      <alignment horizontal="center" vertical="center"/>
    </xf>
    <xf numFmtId="165" fontId="0" fillId="0" borderId="21" xfId="0" applyNumberFormat="1" applyBorder="1" applyAlignment="1">
      <alignment horizontal="center" vertical="center"/>
    </xf>
    <xf numFmtId="165" fontId="0" fillId="0" borderId="27" xfId="0" applyNumberFormat="1" applyBorder="1" applyAlignment="1">
      <alignment horizontal="center" vertical="center"/>
    </xf>
    <xf numFmtId="165" fontId="0" fillId="0" borderId="29" xfId="0" applyNumberFormat="1" applyBorder="1" applyAlignment="1">
      <alignment horizontal="center" vertical="center"/>
    </xf>
    <xf numFmtId="165" fontId="0" fillId="0" borderId="30" xfId="0" applyNumberFormat="1" applyBorder="1" applyAlignment="1">
      <alignment horizontal="center" vertical="center"/>
    </xf>
    <xf numFmtId="165" fontId="0" fillId="0" borderId="24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165" fontId="0" fillId="0" borderId="31" xfId="0" applyNumberFormat="1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165" fontId="0" fillId="0" borderId="32" xfId="0" applyNumberFormat="1" applyBorder="1" applyAlignment="1">
      <alignment horizontal="center" vertical="center"/>
    </xf>
    <xf numFmtId="0" fontId="0" fillId="0" borderId="26" xfId="0" applyBorder="1"/>
    <xf numFmtId="0" fontId="0" fillId="0" borderId="0" xfId="0" applyAlignment="1">
      <alignment horizontal="left"/>
    </xf>
    <xf numFmtId="0" fontId="0" fillId="0" borderId="64" xfId="0" applyBorder="1"/>
    <xf numFmtId="0" fontId="0" fillId="0" borderId="57" xfId="0" applyBorder="1"/>
    <xf numFmtId="0" fontId="0" fillId="0" borderId="68" xfId="0" applyBorder="1" applyAlignment="1">
      <alignment horizontal="center"/>
    </xf>
    <xf numFmtId="165" fontId="0" fillId="0" borderId="68" xfId="0" applyNumberFormat="1" applyBorder="1" applyAlignment="1">
      <alignment horizontal="center" vertical="center"/>
    </xf>
    <xf numFmtId="165" fontId="0" fillId="0" borderId="69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31" fillId="0" borderId="0" xfId="0" applyFont="1"/>
    <xf numFmtId="0" fontId="4" fillId="0" borderId="0" xfId="0" applyFont="1"/>
    <xf numFmtId="0" fontId="4" fillId="4" borderId="7" xfId="0" applyFont="1" applyFill="1" applyBorder="1"/>
    <xf numFmtId="0" fontId="4" fillId="4" borderId="10" xfId="0" applyFont="1" applyFill="1" applyBorder="1" applyAlignment="1">
      <alignment horizontal="right"/>
    </xf>
    <xf numFmtId="0" fontId="5" fillId="0" borderId="73" xfId="0" applyFont="1" applyBorder="1" applyAlignment="1">
      <alignment horizontal="center" vertical="center"/>
    </xf>
    <xf numFmtId="0" fontId="32" fillId="3" borderId="12" xfId="0" applyFont="1" applyFill="1" applyBorder="1" applyAlignment="1">
      <alignment horizontal="center" vertical="center" wrapText="1"/>
    </xf>
    <xf numFmtId="0" fontId="32" fillId="3" borderId="74" xfId="0" applyFont="1" applyFill="1" applyBorder="1" applyAlignment="1">
      <alignment horizontal="center" vertical="center" wrapText="1"/>
    </xf>
    <xf numFmtId="0" fontId="32" fillId="3" borderId="11" xfId="0" applyFont="1" applyFill="1" applyBorder="1" applyAlignment="1">
      <alignment horizontal="center" vertical="center" wrapText="1"/>
    </xf>
    <xf numFmtId="0" fontId="0" fillId="0" borderId="10" xfId="0" applyBorder="1"/>
    <xf numFmtId="0" fontId="3" fillId="0" borderId="2" xfId="0" applyFont="1" applyBorder="1" applyAlignment="1">
      <alignment horizontal="center" vertical="center" wrapText="1"/>
    </xf>
    <xf numFmtId="14" fontId="3" fillId="0" borderId="2" xfId="0" applyNumberFormat="1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14" fontId="3" fillId="0" borderId="3" xfId="0" applyNumberFormat="1" applyFont="1" applyBorder="1" applyAlignment="1">
      <alignment horizontal="center" vertical="center" wrapText="1"/>
    </xf>
    <xf numFmtId="0" fontId="3" fillId="0" borderId="0" xfId="0" applyFont="1"/>
    <xf numFmtId="0" fontId="0" fillId="4" borderId="9" xfId="0" applyFill="1" applyBorder="1" applyAlignment="1">
      <alignment horizontal="right"/>
    </xf>
    <xf numFmtId="0" fontId="4" fillId="4" borderId="0" xfId="0" applyFont="1" applyFill="1" applyAlignment="1">
      <alignment horizontal="left" indent="1"/>
    </xf>
    <xf numFmtId="0" fontId="3" fillId="4" borderId="0" xfId="0" applyFont="1" applyFill="1"/>
    <xf numFmtId="0" fontId="4" fillId="4" borderId="9" xfId="0" applyFont="1" applyFill="1" applyBorder="1"/>
    <xf numFmtId="0" fontId="4" fillId="4" borderId="10" xfId="0" applyFont="1" applyFill="1" applyBorder="1" applyAlignment="1">
      <alignment horizontal="right" indent="1"/>
    </xf>
    <xf numFmtId="0" fontId="4" fillId="4" borderId="0" xfId="0" applyFont="1" applyFill="1" applyAlignment="1">
      <alignment horizont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14" fontId="1" fillId="0" borderId="2" xfId="0" applyNumberFormat="1" applyFont="1" applyBorder="1" applyAlignment="1">
      <alignment horizontal="center" vertical="center" wrapText="1"/>
    </xf>
    <xf numFmtId="14" fontId="1" fillId="0" borderId="3" xfId="0" applyNumberFormat="1" applyFont="1" applyBorder="1" applyAlignment="1">
      <alignment horizontal="center" vertical="center" wrapText="1"/>
    </xf>
    <xf numFmtId="0" fontId="1" fillId="0" borderId="74" xfId="0" applyFont="1" applyBorder="1" applyAlignment="1">
      <alignment horizontal="center" vertical="center" wrapText="1"/>
    </xf>
    <xf numFmtId="0" fontId="0" fillId="2" borderId="14" xfId="0" applyFill="1" applyBorder="1"/>
    <xf numFmtId="0" fontId="0" fillId="2" borderId="13" xfId="0" applyFill="1" applyBorder="1"/>
    <xf numFmtId="0" fontId="0" fillId="2" borderId="8" xfId="0" applyFill="1" applyBorder="1"/>
    <xf numFmtId="0" fontId="0" fillId="2" borderId="3" xfId="0" applyFill="1" applyBorder="1"/>
    <xf numFmtId="0" fontId="0" fillId="2" borderId="6" xfId="0" applyFill="1" applyBorder="1"/>
    <xf numFmtId="0" fontId="31" fillId="2" borderId="0" xfId="0" applyFont="1" applyFill="1"/>
    <xf numFmtId="0" fontId="17" fillId="2" borderId="0" xfId="0" applyFont="1" applyFill="1" applyAlignment="1">
      <alignment wrapText="1"/>
    </xf>
    <xf numFmtId="0" fontId="4" fillId="0" borderId="0" xfId="0" applyFont="1" applyAlignment="1">
      <alignment horizontal="right" wrapText="1"/>
    </xf>
    <xf numFmtId="0" fontId="0" fillId="2" borderId="2" xfId="0" applyFill="1" applyBorder="1" applyAlignment="1">
      <alignment wrapText="1"/>
    </xf>
    <xf numFmtId="0" fontId="0" fillId="2" borderId="3" xfId="0" applyFill="1" applyBorder="1" applyAlignment="1">
      <alignment wrapText="1"/>
    </xf>
    <xf numFmtId="0" fontId="0" fillId="6" borderId="7" xfId="0" applyFill="1" applyBorder="1" applyAlignment="1">
      <alignment wrapText="1"/>
    </xf>
    <xf numFmtId="0" fontId="33" fillId="6" borderId="6" xfId="0" applyFont="1" applyFill="1" applyBorder="1"/>
    <xf numFmtId="0" fontId="30" fillId="0" borderId="2" xfId="0" applyFont="1" applyBorder="1" applyAlignment="1">
      <alignment horizontal="center" vertical="center"/>
    </xf>
    <xf numFmtId="0" fontId="30" fillId="0" borderId="3" xfId="0" applyFont="1" applyBorder="1" applyAlignment="1">
      <alignment horizontal="center" vertical="center"/>
    </xf>
    <xf numFmtId="14" fontId="8" fillId="2" borderId="2" xfId="0" applyNumberFormat="1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wrapText="1"/>
    </xf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0" fillId="0" borderId="79" xfId="0" applyBorder="1"/>
    <xf numFmtId="0" fontId="0" fillId="0" borderId="80" xfId="0" applyBorder="1"/>
    <xf numFmtId="49" fontId="0" fillId="0" borderId="0" xfId="0" applyNumberFormat="1"/>
    <xf numFmtId="0" fontId="15" fillId="0" borderId="0" xfId="1" applyBorder="1"/>
    <xf numFmtId="0" fontId="0" fillId="0" borderId="81" xfId="0" applyBorder="1"/>
    <xf numFmtId="0" fontId="0" fillId="0" borderId="82" xfId="0" applyBorder="1"/>
    <xf numFmtId="0" fontId="0" fillId="0" borderId="83" xfId="0" applyBorder="1"/>
    <xf numFmtId="0" fontId="16" fillId="11" borderId="84" xfId="0" applyFont="1" applyFill="1" applyBorder="1"/>
    <xf numFmtId="0" fontId="16" fillId="11" borderId="85" xfId="0" applyFont="1" applyFill="1" applyBorder="1"/>
    <xf numFmtId="0" fontId="16" fillId="11" borderId="86" xfId="0" applyFont="1" applyFill="1" applyBorder="1"/>
    <xf numFmtId="0" fontId="16" fillId="11" borderId="87" xfId="0" applyFont="1" applyFill="1" applyBorder="1"/>
    <xf numFmtId="0" fontId="16" fillId="11" borderId="0" xfId="0" applyFont="1" applyFill="1"/>
    <xf numFmtId="0" fontId="16" fillId="11" borderId="88" xfId="0" applyFont="1" applyFill="1" applyBorder="1"/>
    <xf numFmtId="0" fontId="16" fillId="11" borderId="0" xfId="0" applyFont="1" applyFill="1" applyAlignment="1">
      <alignment horizontal="right"/>
    </xf>
    <xf numFmtId="0" fontId="16" fillId="11" borderId="89" xfId="0" applyFont="1" applyFill="1" applyBorder="1"/>
    <xf numFmtId="0" fontId="16" fillId="11" borderId="90" xfId="0" applyFont="1" applyFill="1" applyBorder="1"/>
    <xf numFmtId="0" fontId="16" fillId="11" borderId="91" xfId="0" applyFont="1" applyFill="1" applyBorder="1"/>
    <xf numFmtId="0" fontId="0" fillId="3" borderId="84" xfId="0" applyFill="1" applyBorder="1"/>
    <xf numFmtId="0" fontId="0" fillId="3" borderId="85" xfId="0" applyFill="1" applyBorder="1"/>
    <xf numFmtId="0" fontId="0" fillId="3" borderId="86" xfId="0" applyFill="1" applyBorder="1"/>
    <xf numFmtId="0" fontId="0" fillId="3" borderId="87" xfId="0" applyFill="1" applyBorder="1"/>
    <xf numFmtId="0" fontId="0" fillId="3" borderId="0" xfId="0" applyFill="1"/>
    <xf numFmtId="0" fontId="0" fillId="3" borderId="88" xfId="0" applyFill="1" applyBorder="1"/>
    <xf numFmtId="0" fontId="0" fillId="3" borderId="89" xfId="0" applyFill="1" applyBorder="1"/>
    <xf numFmtId="0" fontId="0" fillId="3" borderId="90" xfId="0" applyFill="1" applyBorder="1"/>
    <xf numFmtId="0" fontId="0" fillId="3" borderId="91" xfId="0" applyFill="1" applyBorder="1"/>
    <xf numFmtId="0" fontId="16" fillId="2" borderId="75" xfId="0" applyFont="1" applyFill="1" applyBorder="1"/>
    <xf numFmtId="0" fontId="34" fillId="11" borderId="0" xfId="0" applyFont="1" applyFill="1"/>
    <xf numFmtId="0" fontId="0" fillId="3" borderId="0" xfId="0" applyFill="1" applyAlignment="1">
      <alignment horizontal="right"/>
    </xf>
    <xf numFmtId="0" fontId="35" fillId="0" borderId="82" xfId="0" applyFont="1" applyBorder="1"/>
    <xf numFmtId="0" fontId="16" fillId="12" borderId="84" xfId="0" applyFont="1" applyFill="1" applyBorder="1"/>
    <xf numFmtId="0" fontId="0" fillId="12" borderId="85" xfId="0" applyFill="1" applyBorder="1"/>
    <xf numFmtId="0" fontId="0" fillId="12" borderId="86" xfId="0" applyFill="1" applyBorder="1"/>
    <xf numFmtId="0" fontId="16" fillId="12" borderId="87" xfId="0" applyFont="1" applyFill="1" applyBorder="1"/>
    <xf numFmtId="0" fontId="0" fillId="12" borderId="0" xfId="0" applyFill="1"/>
    <xf numFmtId="0" fontId="0" fillId="12" borderId="88" xfId="0" applyFill="1" applyBorder="1"/>
    <xf numFmtId="0" fontId="16" fillId="12" borderId="89" xfId="0" applyFont="1" applyFill="1" applyBorder="1"/>
    <xf numFmtId="0" fontId="0" fillId="12" borderId="90" xfId="0" applyFill="1" applyBorder="1"/>
    <xf numFmtId="0" fontId="0" fillId="12" borderId="91" xfId="0" applyFill="1" applyBorder="1"/>
    <xf numFmtId="0" fontId="34" fillId="12" borderId="0" xfId="0" applyFont="1" applyFill="1"/>
    <xf numFmtId="0" fontId="34" fillId="3" borderId="0" xfId="0" applyFont="1" applyFill="1"/>
    <xf numFmtId="14" fontId="0" fillId="0" borderId="2" xfId="0" applyNumberFormat="1" applyBorder="1" applyAlignment="1">
      <alignment horizontal="left"/>
    </xf>
    <xf numFmtId="14" fontId="0" fillId="0" borderId="0" xfId="0" applyNumberFormat="1" applyAlignment="1">
      <alignment horizontal="left"/>
    </xf>
    <xf numFmtId="14" fontId="0" fillId="12" borderId="0" xfId="0" applyNumberFormat="1" applyFill="1" applyAlignment="1">
      <alignment horizontal="right"/>
    </xf>
    <xf numFmtId="0" fontId="0" fillId="4" borderId="2" xfId="0" applyFill="1" applyBorder="1" applyAlignment="1">
      <alignment horizontal="center" vertical="center" wrapText="1"/>
    </xf>
    <xf numFmtId="0" fontId="7" fillId="3" borderId="2" xfId="0" applyFont="1" applyFill="1" applyBorder="1" applyAlignment="1">
      <alignment horizontal="left" vertical="center"/>
    </xf>
    <xf numFmtId="0" fontId="0" fillId="4" borderId="2" xfId="0" applyFill="1" applyBorder="1" applyAlignment="1">
      <alignment horizontal="center"/>
    </xf>
    <xf numFmtId="14" fontId="0" fillId="4" borderId="2" xfId="0" applyNumberFormat="1" applyFill="1" applyBorder="1" applyAlignment="1">
      <alignment horizont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9" fillId="4" borderId="2" xfId="0" applyFont="1" applyFill="1" applyBorder="1" applyAlignment="1">
      <alignment horizontal="center" vertical="center" wrapText="1"/>
    </xf>
    <xf numFmtId="0" fontId="19" fillId="4" borderId="3" xfId="0" applyFont="1" applyFill="1" applyBorder="1" applyAlignment="1">
      <alignment horizontal="center" vertical="center" wrapText="1"/>
    </xf>
    <xf numFmtId="0" fontId="4" fillId="6" borderId="2" xfId="0" applyFont="1" applyFill="1" applyBorder="1" applyAlignment="1">
      <alignment horizontal="left" vertical="center" wrapText="1"/>
    </xf>
    <xf numFmtId="0" fontId="17" fillId="0" borderId="23" xfId="0" applyFont="1" applyBorder="1" applyAlignment="1">
      <alignment horizontal="center" vertical="center" wrapText="1"/>
    </xf>
    <xf numFmtId="0" fontId="17" fillId="0" borderId="26" xfId="0" applyFont="1" applyBorder="1" applyAlignment="1">
      <alignment horizontal="center" vertical="center" wrapText="1"/>
    </xf>
    <xf numFmtId="0" fontId="17" fillId="0" borderId="28" xfId="0" applyFont="1" applyBorder="1" applyAlignment="1">
      <alignment horizontal="center" vertical="center" wrapText="1"/>
    </xf>
    <xf numFmtId="0" fontId="7" fillId="3" borderId="2" xfId="0" applyFont="1" applyFill="1" applyBorder="1" applyAlignment="1">
      <alignment horizontal="center" vertical="center" wrapText="1"/>
    </xf>
    <xf numFmtId="0" fontId="4" fillId="0" borderId="52" xfId="0" applyFont="1" applyBorder="1" applyAlignment="1">
      <alignment horizontal="center" vertical="center" wrapText="1"/>
    </xf>
    <xf numFmtId="0" fontId="4" fillId="0" borderId="54" xfId="0" applyFont="1" applyBorder="1" applyAlignment="1">
      <alignment horizontal="center" vertical="center" wrapText="1"/>
    </xf>
    <xf numFmtId="0" fontId="4" fillId="0" borderId="61" xfId="0" applyFont="1" applyBorder="1" applyAlignment="1">
      <alignment horizontal="center" vertical="center" wrapText="1"/>
    </xf>
    <xf numFmtId="0" fontId="4" fillId="0" borderId="62" xfId="0" applyFont="1" applyBorder="1" applyAlignment="1">
      <alignment horizontal="center" vertical="center" wrapText="1"/>
    </xf>
    <xf numFmtId="168" fontId="5" fillId="0" borderId="55" xfId="0" applyNumberFormat="1" applyFont="1" applyBorder="1" applyAlignment="1">
      <alignment horizontal="center" vertical="center" wrapText="1"/>
    </xf>
    <xf numFmtId="168" fontId="5" fillId="0" borderId="56" xfId="0" applyNumberFormat="1" applyFont="1" applyBorder="1" applyAlignment="1">
      <alignment horizontal="center" vertical="center" wrapText="1"/>
    </xf>
    <xf numFmtId="168" fontId="5" fillId="0" borderId="52" xfId="0" applyNumberFormat="1" applyFont="1" applyBorder="1" applyAlignment="1">
      <alignment horizontal="center" vertical="center" wrapText="1"/>
    </xf>
    <xf numFmtId="168" fontId="5" fillId="0" borderId="54" xfId="0" applyNumberFormat="1" applyFont="1" applyBorder="1" applyAlignment="1">
      <alignment horizontal="center" vertical="center" wrapText="1"/>
    </xf>
    <xf numFmtId="168" fontId="5" fillId="0" borderId="46" xfId="0" applyNumberFormat="1" applyFont="1" applyBorder="1" applyAlignment="1">
      <alignment horizontal="center" vertical="center" wrapText="1"/>
    </xf>
    <xf numFmtId="168" fontId="5" fillId="0" borderId="48" xfId="0" applyNumberFormat="1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wrapText="1"/>
    </xf>
    <xf numFmtId="0" fontId="4" fillId="0" borderId="72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7" fillId="0" borderId="66" xfId="0" applyFont="1" applyBorder="1" applyAlignment="1">
      <alignment horizontal="center" vertical="center" wrapText="1"/>
    </xf>
    <xf numFmtId="0" fontId="17" fillId="0" borderId="67" xfId="0" applyFont="1" applyBorder="1" applyAlignment="1">
      <alignment horizontal="center" vertical="center" wrapText="1"/>
    </xf>
    <xf numFmtId="0" fontId="17" fillId="0" borderId="65" xfId="0" applyFont="1" applyBorder="1" applyAlignment="1">
      <alignment horizontal="center" vertical="center" wrapText="1"/>
    </xf>
    <xf numFmtId="0" fontId="17" fillId="0" borderId="18" xfId="0" applyFont="1" applyBorder="1" applyAlignment="1">
      <alignment horizontal="center" vertical="center" wrapText="1"/>
    </xf>
    <xf numFmtId="0" fontId="17" fillId="0" borderId="20" xfId="0" applyFont="1" applyBorder="1" applyAlignment="1">
      <alignment horizontal="center" vertical="center" wrapText="1"/>
    </xf>
    <xf numFmtId="0" fontId="17" fillId="0" borderId="70" xfId="0" applyFont="1" applyBorder="1" applyAlignment="1">
      <alignment horizontal="center" vertical="center" wrapText="1"/>
    </xf>
    <xf numFmtId="0" fontId="17" fillId="0" borderId="33" xfId="0" applyFont="1" applyBorder="1" applyAlignment="1">
      <alignment horizontal="center" vertical="center" wrapText="1"/>
    </xf>
    <xf numFmtId="0" fontId="0" fillId="0" borderId="52" xfId="0" applyBorder="1" applyAlignment="1">
      <alignment horizontal="center" vertical="center" wrapText="1"/>
    </xf>
    <xf numFmtId="0" fontId="0" fillId="0" borderId="53" xfId="0" applyBorder="1" applyAlignment="1">
      <alignment horizontal="center" vertical="center" wrapText="1"/>
    </xf>
    <xf numFmtId="0" fontId="0" fillId="0" borderId="54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59" xfId="0" applyBorder="1" applyAlignment="1">
      <alignment horizontal="center" vertical="center" wrapText="1"/>
    </xf>
    <xf numFmtId="0" fontId="0" fillId="0" borderId="60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17" fillId="0" borderId="57" xfId="0" applyFont="1" applyBorder="1" applyAlignment="1">
      <alignment horizontal="center" vertical="center" wrapText="1"/>
    </xf>
    <xf numFmtId="0" fontId="17" fillId="0" borderId="34" xfId="0" applyFont="1" applyBorder="1" applyAlignment="1">
      <alignment horizontal="center" vertical="center" wrapText="1"/>
    </xf>
    <xf numFmtId="0" fontId="17" fillId="0" borderId="63" xfId="0" applyFont="1" applyBorder="1" applyAlignment="1">
      <alignment horizontal="center" vertical="center" wrapText="1"/>
    </xf>
    <xf numFmtId="0" fontId="4" fillId="0" borderId="58" xfId="0" applyFont="1" applyBorder="1" applyAlignment="1">
      <alignment horizontal="center" vertical="center" wrapText="1"/>
    </xf>
    <xf numFmtId="0" fontId="4" fillId="0" borderId="60" xfId="0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wrapText="1"/>
    </xf>
    <xf numFmtId="0" fontId="5" fillId="0" borderId="16" xfId="0" applyFont="1" applyBorder="1" applyAlignment="1">
      <alignment horizontal="center" wrapText="1"/>
    </xf>
    <xf numFmtId="0" fontId="11" fillId="3" borderId="35" xfId="0" applyFont="1" applyFill="1" applyBorder="1" applyAlignment="1">
      <alignment horizontal="center" vertical="center"/>
    </xf>
    <xf numFmtId="0" fontId="11" fillId="3" borderId="36" xfId="0" applyFont="1" applyFill="1" applyBorder="1" applyAlignment="1">
      <alignment horizontal="center" vertical="center"/>
    </xf>
    <xf numFmtId="0" fontId="0" fillId="4" borderId="2" xfId="0" applyFill="1" applyBorder="1" applyAlignment="1">
      <alignment vertical="top" wrapText="1"/>
    </xf>
    <xf numFmtId="0" fontId="0" fillId="4" borderId="13" xfId="0" applyFill="1" applyBorder="1" applyAlignment="1">
      <alignment vertical="top" wrapText="1"/>
    </xf>
    <xf numFmtId="0" fontId="0" fillId="4" borderId="71" xfId="0" applyFill="1" applyBorder="1" applyAlignment="1">
      <alignment vertical="top" wrapText="1"/>
    </xf>
    <xf numFmtId="0" fontId="0" fillId="4" borderId="14" xfId="0" applyFill="1" applyBorder="1" applyAlignment="1">
      <alignment vertical="top" wrapText="1"/>
    </xf>
    <xf numFmtId="14" fontId="0" fillId="4" borderId="13" xfId="0" applyNumberFormat="1" applyFill="1" applyBorder="1" applyAlignment="1">
      <alignment horizontal="left" vertical="top" wrapText="1"/>
    </xf>
    <xf numFmtId="0" fontId="0" fillId="4" borderId="71" xfId="0" applyFill="1" applyBorder="1" applyAlignment="1">
      <alignment horizontal="left" vertical="top" wrapText="1"/>
    </xf>
    <xf numFmtId="0" fontId="0" fillId="4" borderId="14" xfId="0" applyFill="1" applyBorder="1" applyAlignment="1">
      <alignment horizontal="left" vertical="top" wrapText="1"/>
    </xf>
    <xf numFmtId="0" fontId="0" fillId="0" borderId="0" xfId="0" applyAlignment="1">
      <alignment horizontal="left"/>
    </xf>
    <xf numFmtId="0" fontId="0" fillId="4" borderId="2" xfId="0" applyFill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4" xfId="0" applyBorder="1" applyAlignment="1">
      <alignment horizontal="center"/>
    </xf>
    <xf numFmtId="165" fontId="0" fillId="0" borderId="43" xfId="0" applyNumberFormat="1" applyBorder="1" applyAlignment="1">
      <alignment horizontal="center" vertical="center"/>
    </xf>
    <xf numFmtId="165" fontId="0" fillId="0" borderId="44" xfId="0" applyNumberFormat="1" applyBorder="1" applyAlignment="1">
      <alignment horizontal="center" vertical="center"/>
    </xf>
    <xf numFmtId="165" fontId="0" fillId="0" borderId="45" xfId="0" applyNumberFormat="1" applyBorder="1" applyAlignment="1">
      <alignment horizontal="center" vertical="center"/>
    </xf>
    <xf numFmtId="168" fontId="30" fillId="0" borderId="46" xfId="0" applyNumberFormat="1" applyFont="1" applyBorder="1" applyAlignment="1">
      <alignment horizontal="center" vertical="center" wrapText="1"/>
    </xf>
    <xf numFmtId="168" fontId="30" fillId="0" borderId="47" xfId="0" applyNumberFormat="1" applyFont="1" applyBorder="1" applyAlignment="1">
      <alignment horizontal="center" vertical="center" wrapText="1"/>
    </xf>
    <xf numFmtId="168" fontId="30" fillId="0" borderId="48" xfId="0" applyNumberFormat="1" applyFont="1" applyBorder="1" applyAlignment="1">
      <alignment horizontal="center" vertical="center" wrapText="1"/>
    </xf>
    <xf numFmtId="168" fontId="30" fillId="0" borderId="49" xfId="0" applyNumberFormat="1" applyFont="1" applyBorder="1" applyAlignment="1">
      <alignment horizontal="center" vertical="center" wrapText="1"/>
    </xf>
    <xf numFmtId="168" fontId="30" fillId="0" borderId="50" xfId="0" applyNumberFormat="1" applyFont="1" applyBorder="1" applyAlignment="1">
      <alignment horizontal="center" vertical="center" wrapText="1"/>
    </xf>
    <xf numFmtId="168" fontId="30" fillId="0" borderId="51" xfId="0" applyNumberFormat="1" applyFont="1" applyBorder="1" applyAlignment="1">
      <alignment horizontal="center" vertical="center" wrapText="1"/>
    </xf>
    <xf numFmtId="168" fontId="30" fillId="0" borderId="52" xfId="0" applyNumberFormat="1" applyFont="1" applyBorder="1" applyAlignment="1">
      <alignment horizontal="center" vertical="center" wrapText="1"/>
    </xf>
    <xf numFmtId="168" fontId="30" fillId="0" borderId="53" xfId="0" applyNumberFormat="1" applyFont="1" applyBorder="1" applyAlignment="1">
      <alignment horizontal="center" vertical="center" wrapText="1"/>
    </xf>
    <xf numFmtId="168" fontId="30" fillId="0" borderId="54" xfId="0" applyNumberFormat="1" applyFont="1" applyBorder="1" applyAlignment="1">
      <alignment horizontal="center" vertical="center" wrapText="1"/>
    </xf>
    <xf numFmtId="168" fontId="30" fillId="0" borderId="16" xfId="0" applyNumberFormat="1" applyFont="1" applyBorder="1" applyAlignment="1">
      <alignment horizontal="center" vertical="center" wrapText="1"/>
    </xf>
    <xf numFmtId="168" fontId="30" fillId="0" borderId="4" xfId="0" applyNumberFormat="1" applyFont="1" applyBorder="1" applyAlignment="1">
      <alignment horizontal="center" vertical="center" wrapText="1"/>
    </xf>
    <xf numFmtId="168" fontId="30" fillId="0" borderId="15" xfId="0" applyNumberFormat="1" applyFont="1" applyBorder="1" applyAlignment="1">
      <alignment horizontal="center" vertical="center" wrapText="1"/>
    </xf>
    <xf numFmtId="165" fontId="0" fillId="0" borderId="37" xfId="0" applyNumberFormat="1" applyBorder="1" applyAlignment="1">
      <alignment horizontal="center" vertical="center"/>
    </xf>
    <xf numFmtId="165" fontId="0" fillId="0" borderId="38" xfId="0" applyNumberFormat="1" applyBorder="1" applyAlignment="1">
      <alignment horizontal="center" vertical="center"/>
    </xf>
    <xf numFmtId="165" fontId="0" fillId="0" borderId="39" xfId="0" applyNumberFormat="1" applyBorder="1" applyAlignment="1">
      <alignment horizontal="center" vertical="center"/>
    </xf>
    <xf numFmtId="165" fontId="0" fillId="0" borderId="40" xfId="0" applyNumberFormat="1" applyBorder="1" applyAlignment="1">
      <alignment horizontal="center" vertical="center"/>
    </xf>
    <xf numFmtId="165" fontId="0" fillId="0" borderId="41" xfId="0" applyNumberFormat="1" applyBorder="1" applyAlignment="1">
      <alignment horizontal="center" vertical="center"/>
    </xf>
    <xf numFmtId="165" fontId="0" fillId="0" borderId="42" xfId="0" applyNumberFormat="1" applyBorder="1" applyAlignment="1">
      <alignment horizontal="center" vertical="center"/>
    </xf>
    <xf numFmtId="0" fontId="0" fillId="2" borderId="2" xfId="0" applyFill="1" applyBorder="1" applyAlignment="1">
      <alignment horizontal="left"/>
    </xf>
    <xf numFmtId="22" fontId="0" fillId="2" borderId="2" xfId="0" applyNumberFormat="1" applyFill="1" applyBorder="1" applyAlignment="1">
      <alignment horizontal="left"/>
    </xf>
    <xf numFmtId="0" fontId="4" fillId="3" borderId="13" xfId="0" applyFont="1" applyFill="1" applyBorder="1" applyAlignment="1">
      <alignment horizontal="center" vertical="center" wrapText="1"/>
    </xf>
    <xf numFmtId="0" fontId="4" fillId="3" borderId="14" xfId="0" applyFont="1" applyFill="1" applyBorder="1" applyAlignment="1">
      <alignment horizontal="center" vertical="center" wrapText="1"/>
    </xf>
    <xf numFmtId="14" fontId="0" fillId="2" borderId="2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</cellXfs>
  <cellStyles count="2">
    <cellStyle name="Hiperłącze" xfId="1" builtinId="8"/>
    <cellStyle name="Normalny" xfId="0" builtinId="0"/>
  </cellStyles>
  <dxfs count="78">
    <dxf>
      <fill>
        <patternFill>
          <bgColor rgb="FF00B0F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DCC4EE"/>
        </patternFill>
      </fill>
    </dxf>
    <dxf>
      <fill>
        <patternFill>
          <bgColor rgb="FFFF8585"/>
        </patternFill>
      </fill>
    </dxf>
    <dxf>
      <fill>
        <patternFill>
          <bgColor rgb="FFAFCAFF"/>
        </patternFill>
      </fill>
    </dxf>
    <dxf>
      <border>
        <vertical/>
        <horizontal/>
      </border>
    </dxf>
    <dxf>
      <fill>
        <patternFill>
          <bgColor theme="0" tint="-0.2499465926084170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</dxf>
    <dxf>
      <fill>
        <patternFill>
          <bgColor rgb="FFFF8585"/>
        </patternFill>
      </fill>
    </dxf>
    <dxf>
      <fill>
        <patternFill>
          <bgColor rgb="FFAFCAFF"/>
        </patternFill>
      </fill>
    </dxf>
    <dxf>
      <fill>
        <patternFill>
          <bgColor rgb="FFDCC4EE"/>
        </patternFill>
      </fill>
    </dxf>
    <dxf>
      <fill>
        <patternFill>
          <bgColor theme="0" tint="-0.49998474074526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BAE9FE"/>
      <color rgb="FF2F74FF"/>
      <color rgb="FFAFCAFF"/>
      <color rgb="FFFF8585"/>
      <color rgb="FFDCC4EE"/>
      <color rgb="FFFF7575"/>
      <color rgb="FFC9A4E4"/>
      <color rgb="FFA4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microsoft.com/office/2007/relationships/slicerCache" Target="slicerCaches/slicerCach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4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7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4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7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8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9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0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1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76200</xdr:rowOff>
    </xdr:from>
    <xdr:to>
      <xdr:col>1</xdr:col>
      <xdr:colOff>1257300</xdr:colOff>
      <xdr:row>5</xdr:row>
      <xdr:rowOff>104775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76200"/>
          <a:ext cx="1219200" cy="1219200"/>
        </a:xfrm>
        <a:prstGeom prst="rect">
          <a:avLst/>
        </a:prstGeom>
      </xdr:spPr>
    </xdr:pic>
    <xdr:clientData/>
  </xdr:twoCellAnchor>
  <xdr:twoCellAnchor editAs="oneCell">
    <xdr:from>
      <xdr:col>4</xdr:col>
      <xdr:colOff>401731</xdr:colOff>
      <xdr:row>12</xdr:row>
      <xdr:rowOff>31939</xdr:rowOff>
    </xdr:from>
    <xdr:to>
      <xdr:col>6</xdr:col>
      <xdr:colOff>20731</xdr:colOff>
      <xdr:row>16</xdr:row>
      <xdr:rowOff>32913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02106" y="2651314"/>
          <a:ext cx="838200" cy="839174"/>
        </a:xfrm>
        <a:prstGeom prst="rect">
          <a:avLst/>
        </a:prstGeom>
      </xdr:spPr>
    </xdr:pic>
    <xdr:clientData/>
  </xdr:twoCellAnchor>
  <xdr:twoCellAnchor editAs="oneCell">
    <xdr:from>
      <xdr:col>13</xdr:col>
      <xdr:colOff>260537</xdr:colOff>
      <xdr:row>11</xdr:row>
      <xdr:rowOff>172011</xdr:rowOff>
    </xdr:from>
    <xdr:to>
      <xdr:col>15</xdr:col>
      <xdr:colOff>29322</xdr:colOff>
      <xdr:row>16</xdr:row>
      <xdr:rowOff>123825</xdr:rowOff>
    </xdr:to>
    <xdr:pic>
      <xdr:nvPicPr>
        <xdr:cNvPr id="5" name="Obraz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7712" y="2791386"/>
          <a:ext cx="987985" cy="980514"/>
        </a:xfrm>
        <a:prstGeom prst="rect">
          <a:avLst/>
        </a:prstGeom>
      </xdr:spPr>
    </xdr:pic>
    <xdr:clientData/>
  </xdr:twoCellAnchor>
  <xdr:twoCellAnchor editAs="oneCell">
    <xdr:from>
      <xdr:col>4</xdr:col>
      <xdr:colOff>245972</xdr:colOff>
      <xdr:row>23</xdr:row>
      <xdr:rowOff>7844</xdr:rowOff>
    </xdr:from>
    <xdr:to>
      <xdr:col>5</xdr:col>
      <xdr:colOff>582147</xdr:colOff>
      <xdr:row>27</xdr:row>
      <xdr:rowOff>130537</xdr:rowOff>
    </xdr:to>
    <xdr:pic>
      <xdr:nvPicPr>
        <xdr:cNvPr id="9" name="Obraz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46347" y="4817969"/>
          <a:ext cx="945775" cy="9227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561975</xdr:colOff>
          <xdr:row>25</xdr:row>
          <xdr:rowOff>57150</xdr:rowOff>
        </xdr:from>
        <xdr:to>
          <xdr:col>8</xdr:col>
          <xdr:colOff>457200</xdr:colOff>
          <xdr:row>27</xdr:row>
          <xdr:rowOff>152400</xdr:rowOff>
        </xdr:to>
        <xdr:sp macro="" textlink="">
          <xdr:nvSpPr>
            <xdr:cNvPr id="81923" name="Button 3" hidden="1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0000-00000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Pełna dokumentacja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25</xdr:row>
          <xdr:rowOff>66675</xdr:rowOff>
        </xdr:from>
        <xdr:to>
          <xdr:col>10</xdr:col>
          <xdr:colOff>495300</xdr:colOff>
          <xdr:row>27</xdr:row>
          <xdr:rowOff>142875</xdr:rowOff>
        </xdr:to>
        <xdr:sp macro="" textlink="">
          <xdr:nvSpPr>
            <xdr:cNvPr id="81924" name="Button 4" hidden="1">
              <a:extLst>
                <a:ext uri="{63B3BB69-23CF-44E3-9099-C40C66FF867C}">
                  <a14:compatExt spid="_x0000_s81924"/>
                </a:ext>
                <a:ext uri="{FF2B5EF4-FFF2-40B4-BE49-F238E27FC236}">
                  <a16:creationId xmlns:a16="http://schemas.microsoft.com/office/drawing/2014/main" id="{00000000-0008-0000-0000-00000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Omówienie VIDEO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25</xdr:row>
          <xdr:rowOff>76200</xdr:rowOff>
        </xdr:from>
        <xdr:to>
          <xdr:col>13</xdr:col>
          <xdr:colOff>85725</xdr:colOff>
          <xdr:row>27</xdr:row>
          <xdr:rowOff>142875</xdr:rowOff>
        </xdr:to>
        <xdr:sp macro="" textlink="">
          <xdr:nvSpPr>
            <xdr:cNvPr id="81925" name="Button 5" hidden="1">
              <a:extLst>
                <a:ext uri="{63B3BB69-23CF-44E3-9099-C40C66FF867C}">
                  <a14:compatExt spid="_x0000_s81925"/>
                </a:ext>
                <a:ext uri="{FF2B5EF4-FFF2-40B4-BE49-F238E27FC236}">
                  <a16:creationId xmlns:a16="http://schemas.microsoft.com/office/drawing/2014/main" id="{00000000-0008-0000-0000-00000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Wszystkie pliki dokumentacji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447675</xdr:colOff>
          <xdr:row>25</xdr:row>
          <xdr:rowOff>66675</xdr:rowOff>
        </xdr:from>
        <xdr:to>
          <xdr:col>17</xdr:col>
          <xdr:colOff>400050</xdr:colOff>
          <xdr:row>27</xdr:row>
          <xdr:rowOff>152400</xdr:rowOff>
        </xdr:to>
        <xdr:sp macro="" textlink="">
          <xdr:nvSpPr>
            <xdr:cNvPr id="81926" name="Button 6" hidden="1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0000-00000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85725</xdr:rowOff>
    </xdr:from>
    <xdr:to>
      <xdr:col>4</xdr:col>
      <xdr:colOff>719734</xdr:colOff>
      <xdr:row>5</xdr:row>
      <xdr:rowOff>57150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85725"/>
          <a:ext cx="1066800" cy="1066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8</xdr:row>
          <xdr:rowOff>28575</xdr:rowOff>
        </xdr:from>
        <xdr:to>
          <xdr:col>9</xdr:col>
          <xdr:colOff>9525</xdr:colOff>
          <xdr:row>9</xdr:row>
          <xdr:rowOff>114300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9</xdr:row>
          <xdr:rowOff>190500</xdr:rowOff>
        </xdr:from>
        <xdr:to>
          <xdr:col>7</xdr:col>
          <xdr:colOff>685800</xdr:colOff>
          <xdr:row>11</xdr:row>
          <xdr:rowOff>228600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Zmień zakres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13</xdr:row>
          <xdr:rowOff>228600</xdr:rowOff>
        </xdr:from>
        <xdr:to>
          <xdr:col>6</xdr:col>
          <xdr:colOff>1085850</xdr:colOff>
          <xdr:row>14</xdr:row>
          <xdr:rowOff>95250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1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Uzupełnij ewidencje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257175</xdr:rowOff>
        </xdr:from>
        <xdr:to>
          <xdr:col>8</xdr:col>
          <xdr:colOff>428625</xdr:colOff>
          <xdr:row>14</xdr:row>
          <xdr:rowOff>85725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1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Dodaj prace dodatkową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13</xdr:row>
          <xdr:rowOff>266700</xdr:rowOff>
        </xdr:from>
        <xdr:to>
          <xdr:col>9</xdr:col>
          <xdr:colOff>800100</xdr:colOff>
          <xdr:row>14</xdr:row>
          <xdr:rowOff>95250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Usuń prace dodatkową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13</xdr:row>
          <xdr:rowOff>276225</xdr:rowOff>
        </xdr:from>
        <xdr:to>
          <xdr:col>15</xdr:col>
          <xdr:colOff>942975</xdr:colOff>
          <xdr:row>14</xdr:row>
          <xdr:rowOff>123825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Dodaj nieobecność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1114425</xdr:colOff>
          <xdr:row>13</xdr:row>
          <xdr:rowOff>285750</xdr:rowOff>
        </xdr:from>
        <xdr:to>
          <xdr:col>16</xdr:col>
          <xdr:colOff>828675</xdr:colOff>
          <xdr:row>14</xdr:row>
          <xdr:rowOff>123825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1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Podgląd nieobecności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78442</xdr:colOff>
      <xdr:row>6</xdr:row>
      <xdr:rowOff>44824</xdr:rowOff>
    </xdr:from>
    <xdr:to>
      <xdr:col>1</xdr:col>
      <xdr:colOff>155763</xdr:colOff>
      <xdr:row>7</xdr:row>
      <xdr:rowOff>178174</xdr:rowOff>
    </xdr:to>
    <xdr:pic macro="[0]!OpenHomePage">
      <xdr:nvPicPr>
        <xdr:cNvPr id="2" name="Obraz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2" y="1344706"/>
          <a:ext cx="323850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15</xdr:row>
          <xdr:rowOff>19050</xdr:rowOff>
        </xdr:from>
        <xdr:to>
          <xdr:col>19</xdr:col>
          <xdr:colOff>238125</xdr:colOff>
          <xdr:row>16</xdr:row>
          <xdr:rowOff>66675</xdr:rowOff>
        </xdr:to>
        <xdr:sp macro="" textlink="">
          <xdr:nvSpPr>
            <xdr:cNvPr id="9225" name="cBx_dontShowWorkTimeWhenAbsence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1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561975</xdr:colOff>
          <xdr:row>12</xdr:row>
          <xdr:rowOff>66675</xdr:rowOff>
        </xdr:from>
        <xdr:to>
          <xdr:col>12</xdr:col>
          <xdr:colOff>0</xdr:colOff>
          <xdr:row>13</xdr:row>
          <xdr:rowOff>228600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1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Dokumentacja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142876</xdr:colOff>
      <xdr:row>0</xdr:row>
      <xdr:rowOff>57151</xdr:rowOff>
    </xdr:from>
    <xdr:to>
      <xdr:col>3</xdr:col>
      <xdr:colOff>66676</xdr:colOff>
      <xdr:row>5</xdr:row>
      <xdr:rowOff>104776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6" y="57151"/>
          <a:ext cx="1143000" cy="1143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2857500</xdr:colOff>
          <xdr:row>12</xdr:row>
          <xdr:rowOff>180975</xdr:rowOff>
        </xdr:from>
        <xdr:to>
          <xdr:col>3</xdr:col>
          <xdr:colOff>4371975</xdr:colOff>
          <xdr:row>15</xdr:row>
          <xdr:rowOff>85725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Wczytaj już istniejące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2867025</xdr:colOff>
          <xdr:row>9</xdr:row>
          <xdr:rowOff>9525</xdr:rowOff>
        </xdr:from>
        <xdr:to>
          <xdr:col>3</xdr:col>
          <xdr:colOff>4343400</xdr:colOff>
          <xdr:row>11</xdr:row>
          <xdr:rowOff>180975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2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Rozlicz nowy okres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78441</xdr:colOff>
      <xdr:row>6</xdr:row>
      <xdr:rowOff>100853</xdr:rowOff>
    </xdr:from>
    <xdr:to>
      <xdr:col>0</xdr:col>
      <xdr:colOff>402291</xdr:colOff>
      <xdr:row>8</xdr:row>
      <xdr:rowOff>43703</xdr:rowOff>
    </xdr:to>
    <xdr:pic macro="[0]!OpenHomePage">
      <xdr:nvPicPr>
        <xdr:cNvPr id="2" name="Obraz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1" y="1400735"/>
          <a:ext cx="323850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14</xdr:row>
          <xdr:rowOff>28575</xdr:rowOff>
        </xdr:from>
        <xdr:to>
          <xdr:col>3</xdr:col>
          <xdr:colOff>1181100</xdr:colOff>
          <xdr:row>15</xdr:row>
          <xdr:rowOff>38100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2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Dokumentacja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1438275</xdr:colOff>
          <xdr:row>12</xdr:row>
          <xdr:rowOff>190500</xdr:rowOff>
        </xdr:from>
        <xdr:to>
          <xdr:col>3</xdr:col>
          <xdr:colOff>2590800</xdr:colOff>
          <xdr:row>15</xdr:row>
          <xdr:rowOff>114300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2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Zapisz PDF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6</xdr:row>
      <xdr:rowOff>66675</xdr:rowOff>
    </xdr:from>
    <xdr:to>
      <xdr:col>0</xdr:col>
      <xdr:colOff>371475</xdr:colOff>
      <xdr:row>8</xdr:row>
      <xdr:rowOff>9525</xdr:rowOff>
    </xdr:to>
    <xdr:pic macro="[0]!OpenHomePage">
      <xdr:nvPicPr>
        <xdr:cNvPr id="3" name="Obraz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62075"/>
          <a:ext cx="323850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7</xdr:row>
          <xdr:rowOff>133350</xdr:rowOff>
        </xdr:from>
        <xdr:to>
          <xdr:col>6</xdr:col>
          <xdr:colOff>114300</xdr:colOff>
          <xdr:row>9</xdr:row>
          <xdr:rowOff>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3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rok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314325</xdr:colOff>
      <xdr:row>0</xdr:row>
      <xdr:rowOff>85725</xdr:rowOff>
    </xdr:from>
    <xdr:to>
      <xdr:col>2</xdr:col>
      <xdr:colOff>180975</xdr:colOff>
      <xdr:row>5</xdr:row>
      <xdr:rowOff>76200</xdr:rowOff>
    </xdr:to>
    <xdr:pic>
      <xdr:nvPicPr>
        <xdr:cNvPr id="5" name="Obraz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85725"/>
          <a:ext cx="1085850" cy="1085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16</xdr:row>
          <xdr:rowOff>38100</xdr:rowOff>
        </xdr:from>
        <xdr:to>
          <xdr:col>4</xdr:col>
          <xdr:colOff>542925</xdr:colOff>
          <xdr:row>18</xdr:row>
          <xdr:rowOff>57150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03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Przenieś wszystkie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16</xdr:row>
          <xdr:rowOff>28575</xdr:rowOff>
        </xdr:from>
        <xdr:to>
          <xdr:col>4</xdr:col>
          <xdr:colOff>1809750</xdr:colOff>
          <xdr:row>18</xdr:row>
          <xdr:rowOff>57150</xdr:rowOff>
        </xdr:to>
        <xdr:sp macro="" textlink="">
          <xdr:nvSpPr>
            <xdr:cNvPr id="72707" name="Button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03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Przenieś wybrany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762000</xdr:colOff>
          <xdr:row>7</xdr:row>
          <xdr:rowOff>9525</xdr:rowOff>
        </xdr:from>
        <xdr:to>
          <xdr:col>7</xdr:col>
          <xdr:colOff>704850</xdr:colOff>
          <xdr:row>9</xdr:row>
          <xdr:rowOff>19050</xdr:rowOff>
        </xdr:to>
        <xdr:sp macro="" textlink="">
          <xdr:nvSpPr>
            <xdr:cNvPr id="72708" name="Button 4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00000000-0008-0000-0300-00000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Dokumentacja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142876</xdr:colOff>
      <xdr:row>0</xdr:row>
      <xdr:rowOff>95251</xdr:rowOff>
    </xdr:from>
    <xdr:to>
      <xdr:col>2</xdr:col>
      <xdr:colOff>28576</xdr:colOff>
      <xdr:row>4</xdr:row>
      <xdr:rowOff>142876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6" y="95251"/>
          <a:ext cx="1104900" cy="1104900"/>
        </a:xfrm>
        <a:prstGeom prst="rect">
          <a:avLst/>
        </a:prstGeom>
      </xdr:spPr>
    </xdr:pic>
    <xdr:clientData/>
  </xdr:twoCellAnchor>
  <xdr:twoCellAnchor editAs="oneCell">
    <xdr:from>
      <xdr:col>0</xdr:col>
      <xdr:colOff>114300</xdr:colOff>
      <xdr:row>6</xdr:row>
      <xdr:rowOff>66675</xdr:rowOff>
    </xdr:from>
    <xdr:to>
      <xdr:col>0</xdr:col>
      <xdr:colOff>438150</xdr:colOff>
      <xdr:row>17</xdr:row>
      <xdr:rowOff>9525</xdr:rowOff>
    </xdr:to>
    <xdr:pic macro="[0]!OpenHomePage">
      <xdr:nvPicPr>
        <xdr:cNvPr id="5" name="Obraz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1514475"/>
          <a:ext cx="323850" cy="3238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104776</xdr:colOff>
      <xdr:row>0</xdr:row>
      <xdr:rowOff>104775</xdr:rowOff>
    </xdr:from>
    <xdr:to>
      <xdr:col>1</xdr:col>
      <xdr:colOff>600076</xdr:colOff>
      <xdr:row>4</xdr:row>
      <xdr:rowOff>152400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6" y="104775"/>
          <a:ext cx="1104900" cy="1104900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6</xdr:row>
      <xdr:rowOff>76199</xdr:rowOff>
    </xdr:from>
    <xdr:to>
      <xdr:col>0</xdr:col>
      <xdr:colOff>400050</xdr:colOff>
      <xdr:row>8</xdr:row>
      <xdr:rowOff>19049</xdr:rowOff>
    </xdr:to>
    <xdr:pic macro="[0]!OpenHomePage">
      <xdr:nvPicPr>
        <xdr:cNvPr id="4" name="Obraz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1523999"/>
          <a:ext cx="323850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638175</xdr:colOff>
          <xdr:row>10</xdr:row>
          <xdr:rowOff>19050</xdr:rowOff>
        </xdr:from>
        <xdr:to>
          <xdr:col>10</xdr:col>
          <xdr:colOff>171450</xdr:colOff>
          <xdr:row>12</xdr:row>
          <xdr:rowOff>180975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5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Sprawdź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142876</xdr:colOff>
      <xdr:row>0</xdr:row>
      <xdr:rowOff>85725</xdr:rowOff>
    </xdr:from>
    <xdr:to>
      <xdr:col>2</xdr:col>
      <xdr:colOff>28576</xdr:colOff>
      <xdr:row>4</xdr:row>
      <xdr:rowOff>133350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6" y="85725"/>
          <a:ext cx="1104900" cy="1104900"/>
        </a:xfrm>
        <a:prstGeom prst="rect">
          <a:avLst/>
        </a:prstGeom>
      </xdr:spPr>
    </xdr:pic>
    <xdr:clientData/>
  </xdr:twoCellAnchor>
  <xdr:twoCellAnchor editAs="oneCell">
    <xdr:from>
      <xdr:col>0</xdr:col>
      <xdr:colOff>114300</xdr:colOff>
      <xdr:row>6</xdr:row>
      <xdr:rowOff>57149</xdr:rowOff>
    </xdr:from>
    <xdr:to>
      <xdr:col>0</xdr:col>
      <xdr:colOff>438150</xdr:colOff>
      <xdr:row>7</xdr:row>
      <xdr:rowOff>190499</xdr:rowOff>
    </xdr:to>
    <xdr:pic macro="[0]!OpenHomePage">
      <xdr:nvPicPr>
        <xdr:cNvPr id="4" name="Obraz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1504949"/>
          <a:ext cx="323850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</xdr:row>
          <xdr:rowOff>180975</xdr:rowOff>
        </xdr:from>
        <xdr:to>
          <xdr:col>5</xdr:col>
          <xdr:colOff>971550</xdr:colOff>
          <xdr:row>10</xdr:row>
          <xdr:rowOff>66675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6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Zmień Rok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6</xdr:row>
      <xdr:rowOff>104775</xdr:rowOff>
    </xdr:from>
    <xdr:to>
      <xdr:col>2</xdr:col>
      <xdr:colOff>47633</xdr:colOff>
      <xdr:row>8</xdr:row>
      <xdr:rowOff>47625</xdr:rowOff>
    </xdr:to>
    <xdr:pic macro="[0]!OpenHomePage">
      <xdr:nvPicPr>
        <xdr:cNvPr id="3" name="Obraz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1400175"/>
          <a:ext cx="319776" cy="323850"/>
        </a:xfrm>
        <a:prstGeom prst="rect">
          <a:avLst/>
        </a:prstGeom>
      </xdr:spPr>
    </xdr:pic>
    <xdr:clientData/>
  </xdr:twoCellAnchor>
  <xdr:twoCellAnchor editAs="oneCell">
    <xdr:from>
      <xdr:col>0</xdr:col>
      <xdr:colOff>238125</xdr:colOff>
      <xdr:row>0</xdr:row>
      <xdr:rowOff>114300</xdr:rowOff>
    </xdr:from>
    <xdr:to>
      <xdr:col>3</xdr:col>
      <xdr:colOff>289254</xdr:colOff>
      <xdr:row>5</xdr:row>
      <xdr:rowOff>26967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114300"/>
          <a:ext cx="1063500" cy="106247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11</xdr:row>
          <xdr:rowOff>133350</xdr:rowOff>
        </xdr:from>
        <xdr:to>
          <xdr:col>9</xdr:col>
          <xdr:colOff>390525</xdr:colOff>
          <xdr:row>14</xdr:row>
          <xdr:rowOff>123825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7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Eksportuj do pliku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12</xdr:row>
          <xdr:rowOff>104775</xdr:rowOff>
        </xdr:from>
        <xdr:to>
          <xdr:col>5</xdr:col>
          <xdr:colOff>57150</xdr:colOff>
          <xdr:row>13</xdr:row>
          <xdr:rowOff>161925</xdr:rowOff>
        </xdr:to>
        <xdr:sp macro="" textlink="">
          <xdr:nvSpPr>
            <xdr:cNvPr id="44034" name="showNigthHours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7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14</xdr:row>
          <xdr:rowOff>19050</xdr:rowOff>
        </xdr:from>
        <xdr:to>
          <xdr:col>4</xdr:col>
          <xdr:colOff>581025</xdr:colOff>
          <xdr:row>15</xdr:row>
          <xdr:rowOff>104775</xdr:rowOff>
        </xdr:to>
        <xdr:sp macro="" textlink="">
          <xdr:nvSpPr>
            <xdr:cNvPr id="44035" name="ShowOverHours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7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10</xdr:row>
          <xdr:rowOff>180975</xdr:rowOff>
        </xdr:from>
        <xdr:to>
          <xdr:col>5</xdr:col>
          <xdr:colOff>542925</xdr:colOff>
          <xdr:row>12</xdr:row>
          <xdr:rowOff>57150</xdr:rowOff>
        </xdr:to>
        <xdr:sp macro="" textlink="">
          <xdr:nvSpPr>
            <xdr:cNvPr id="44036" name="showTimeofWork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7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466725</xdr:colOff>
          <xdr:row>9</xdr:row>
          <xdr:rowOff>76200</xdr:rowOff>
        </xdr:from>
        <xdr:to>
          <xdr:col>5</xdr:col>
          <xdr:colOff>161925</xdr:colOff>
          <xdr:row>10</xdr:row>
          <xdr:rowOff>123825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7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pracownika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9</xdr:row>
          <xdr:rowOff>85725</xdr:rowOff>
        </xdr:from>
        <xdr:to>
          <xdr:col>9</xdr:col>
          <xdr:colOff>361950</xdr:colOff>
          <xdr:row>10</xdr:row>
          <xdr:rowOff>142875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7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Zmień Rok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12</xdr:row>
          <xdr:rowOff>85725</xdr:rowOff>
        </xdr:from>
        <xdr:to>
          <xdr:col>7</xdr:col>
          <xdr:colOff>104775</xdr:colOff>
          <xdr:row>14</xdr:row>
          <xdr:rowOff>123825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7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Dokumentacja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0</xdr:row>
      <xdr:rowOff>180975</xdr:rowOff>
    </xdr:from>
    <xdr:to>
      <xdr:col>2</xdr:col>
      <xdr:colOff>38100</xdr:colOff>
      <xdr:row>4</xdr:row>
      <xdr:rowOff>171450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" y="180975"/>
          <a:ext cx="1047750" cy="10477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133350</xdr:colOff>
          <xdr:row>8</xdr:row>
          <xdr:rowOff>76200</xdr:rowOff>
        </xdr:from>
        <xdr:to>
          <xdr:col>12</xdr:col>
          <xdr:colOff>152400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Wygeneruj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11</xdr:row>
          <xdr:rowOff>133350</xdr:rowOff>
        </xdr:from>
        <xdr:to>
          <xdr:col>12</xdr:col>
          <xdr:colOff>152400</xdr:colOff>
          <xdr:row>14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Eksportuj do pliku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66675</xdr:colOff>
      <xdr:row>6</xdr:row>
      <xdr:rowOff>57150</xdr:rowOff>
    </xdr:from>
    <xdr:to>
      <xdr:col>0</xdr:col>
      <xdr:colOff>390525</xdr:colOff>
      <xdr:row>8</xdr:row>
      <xdr:rowOff>0</xdr:rowOff>
    </xdr:to>
    <xdr:pic macro="[0]!OpenHomePage">
      <xdr:nvPicPr>
        <xdr:cNvPr id="2" name="Obraz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504950"/>
          <a:ext cx="323850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3</xdr:row>
          <xdr:rowOff>190500</xdr:rowOff>
        </xdr:from>
        <xdr:to>
          <xdr:col>8</xdr:col>
          <xdr:colOff>609600</xdr:colOff>
          <xdr:row>5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8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Informacje o zestawieniu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190500</xdr:rowOff>
        </xdr:from>
        <xdr:to>
          <xdr:col>10</xdr:col>
          <xdr:colOff>409575</xdr:colOff>
          <xdr:row>5</xdr:row>
          <xdr:rowOff>95250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8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Dokumentacja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6</xdr:row>
      <xdr:rowOff>57150</xdr:rowOff>
    </xdr:from>
    <xdr:to>
      <xdr:col>0</xdr:col>
      <xdr:colOff>390525</xdr:colOff>
      <xdr:row>8</xdr:row>
      <xdr:rowOff>0</xdr:rowOff>
    </xdr:to>
    <xdr:pic macro="[0]!OpenHomePage">
      <xdr:nvPicPr>
        <xdr:cNvPr id="3" name="Obraz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504950"/>
          <a:ext cx="323850" cy="323850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1</xdr:row>
      <xdr:rowOff>0</xdr:rowOff>
    </xdr:from>
    <xdr:to>
      <xdr:col>1</xdr:col>
      <xdr:colOff>600635</xdr:colOff>
      <xdr:row>4</xdr:row>
      <xdr:rowOff>177053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190500"/>
          <a:ext cx="1038785" cy="10438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209550</xdr:colOff>
          <xdr:row>10</xdr:row>
          <xdr:rowOff>161925</xdr:rowOff>
        </xdr:from>
        <xdr:to>
          <xdr:col>5</xdr:col>
          <xdr:colOff>657225</xdr:colOff>
          <xdr:row>15</xdr:row>
          <xdr:rowOff>66675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09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datę i generuj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273983</xdr:colOff>
      <xdr:row>6</xdr:row>
      <xdr:rowOff>156883</xdr:rowOff>
    </xdr:from>
    <xdr:to>
      <xdr:col>3</xdr:col>
      <xdr:colOff>2061883</xdr:colOff>
      <xdr:row>20</xdr:row>
      <xdr:rowOff>100853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8" name="Pion">
              <a:extLst>
                <a:ext uri="{FF2B5EF4-FFF2-40B4-BE49-F238E27FC236}">
                  <a16:creationId xmlns:a16="http://schemas.microsoft.com/office/drawing/2014/main" id="{00000000-0008-0000-09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84218" y="1602442"/>
              <a:ext cx="2168900" cy="227479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reprezentuje fragmentator tabeli. Fragmentatory tabel nie są obsługiwane w tej wersji programu Excel.
Jeśli kształt został zmodyfikowany w starszej wersji programu Excel albo skoroszyt został zapisany w programie Excel 2007 lub w starszej wersji, nie można używać fragmentatora.</a:t>
              </a:r>
            </a:p>
          </xdr:txBody>
        </xdr:sp>
      </mc:Fallback>
    </mc:AlternateContent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47625</xdr:rowOff>
        </xdr:from>
        <xdr:to>
          <xdr:col>7</xdr:col>
          <xdr:colOff>933450</xdr:colOff>
          <xdr:row>17</xdr:row>
          <xdr:rowOff>114300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00000000-0008-0000-0900-00000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Dokumentacja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0</xdr:row>
      <xdr:rowOff>161925</xdr:rowOff>
    </xdr:from>
    <xdr:to>
      <xdr:col>2</xdr:col>
      <xdr:colOff>48185</xdr:colOff>
      <xdr:row>4</xdr:row>
      <xdr:rowOff>148478</xdr:rowOff>
    </xdr:to>
    <xdr:pic>
      <xdr:nvPicPr>
        <xdr:cNvPr id="5" name="Obraz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" y="161925"/>
          <a:ext cx="1038785" cy="1043828"/>
        </a:xfrm>
        <a:prstGeom prst="rect">
          <a:avLst/>
        </a:prstGeom>
      </xdr:spPr>
    </xdr:pic>
    <xdr:clientData/>
  </xdr:twoCellAnchor>
  <xdr:twoCellAnchor editAs="oneCell">
    <xdr:from>
      <xdr:col>0</xdr:col>
      <xdr:colOff>114300</xdr:colOff>
      <xdr:row>6</xdr:row>
      <xdr:rowOff>93009</xdr:rowOff>
    </xdr:from>
    <xdr:to>
      <xdr:col>0</xdr:col>
      <xdr:colOff>438150</xdr:colOff>
      <xdr:row>8</xdr:row>
      <xdr:rowOff>35859</xdr:rowOff>
    </xdr:to>
    <xdr:pic macro="[0]!OpenHomePage">
      <xdr:nvPicPr>
        <xdr:cNvPr id="6" name="Obraz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1540809"/>
          <a:ext cx="323850" cy="323850"/>
        </a:xfrm>
        <a:prstGeom prst="rect">
          <a:avLst/>
        </a:prstGeom>
      </xdr:spPr>
    </xdr:pic>
    <xdr:clientData/>
  </xdr:twoCellAnchor>
  <xdr:twoCellAnchor editAs="absolute">
    <xdr:from>
      <xdr:col>2</xdr:col>
      <xdr:colOff>76199</xdr:colOff>
      <xdr:row>6</xdr:row>
      <xdr:rowOff>114301</xdr:rowOff>
    </xdr:from>
    <xdr:to>
      <xdr:col>3</xdr:col>
      <xdr:colOff>1619250</xdr:colOff>
      <xdr:row>20</xdr:row>
      <xdr:rowOff>142875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Rodzaj nieobecności">
              <a:extLst>
                <a:ext uri="{FF2B5EF4-FFF2-40B4-BE49-F238E27FC236}">
                  <a16:creationId xmlns:a16="http://schemas.microsoft.com/office/drawing/2014/main" id="{00000000-0008-0000-0A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odzaj nieobecności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6349" y="1562101"/>
              <a:ext cx="2152651" cy="26955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reprezentuje fragmentator tabeli. Fragmentatory tabel nie są obsługiwane w tej wersji programu Excel.
Jeśli kształt został zmodyfikowany w starszej wersji programu Excel albo skoroszyt został zapisany w programie Excel 2007 lub w starszej wersji, nie można używać fragmentatora.</a:t>
              </a:r>
            </a:p>
          </xdr:txBody>
        </xdr:sp>
      </mc:Fallback>
    </mc:AlternateContent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17</xdr:row>
          <xdr:rowOff>95250</xdr:rowOff>
        </xdr:from>
        <xdr:to>
          <xdr:col>6</xdr:col>
          <xdr:colOff>666750</xdr:colOff>
          <xdr:row>18</xdr:row>
          <xdr:rowOff>171450</xdr:rowOff>
        </xdr:to>
        <xdr:sp macro="" textlink="">
          <xdr:nvSpPr>
            <xdr:cNvPr id="50178" name="cbx_DateFor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A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19</xdr:row>
          <xdr:rowOff>28575</xdr:rowOff>
        </xdr:from>
        <xdr:to>
          <xdr:col>7</xdr:col>
          <xdr:colOff>142875</xdr:colOff>
          <xdr:row>20</xdr:row>
          <xdr:rowOff>104775</xdr:rowOff>
        </xdr:to>
        <xdr:sp macro="" textlink="">
          <xdr:nvSpPr>
            <xdr:cNvPr id="50179" name="cbx_issueDat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A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600075</xdr:colOff>
          <xdr:row>14</xdr:row>
          <xdr:rowOff>9525</xdr:rowOff>
        </xdr:from>
        <xdr:to>
          <xdr:col>8</xdr:col>
          <xdr:colOff>638175</xdr:colOff>
          <xdr:row>16</xdr:row>
          <xdr:rowOff>9525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A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Zmień daty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400050</xdr:colOff>
          <xdr:row>14</xdr:row>
          <xdr:rowOff>47625</xdr:rowOff>
        </xdr:from>
        <xdr:to>
          <xdr:col>7</xdr:col>
          <xdr:colOff>476250</xdr:colOff>
          <xdr:row>16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A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Dokumentacja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295275</xdr:colOff>
      <xdr:row>0</xdr:row>
      <xdr:rowOff>85725</xdr:rowOff>
    </xdr:from>
    <xdr:to>
      <xdr:col>2</xdr:col>
      <xdr:colOff>66675</xdr:colOff>
      <xdr:row>4</xdr:row>
      <xdr:rowOff>171450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85725"/>
          <a:ext cx="990600" cy="990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6</xdr:row>
          <xdr:rowOff>123825</xdr:rowOff>
        </xdr:from>
        <xdr:to>
          <xdr:col>3</xdr:col>
          <xdr:colOff>923925</xdr:colOff>
          <xdr:row>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B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Dodaj pracownika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6</xdr:row>
          <xdr:rowOff>114300</xdr:rowOff>
        </xdr:from>
        <xdr:to>
          <xdr:col>5</xdr:col>
          <xdr:colOff>276225</xdr:colOff>
          <xdr:row>8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B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Edytuj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523875</xdr:colOff>
          <xdr:row>6</xdr:row>
          <xdr:rowOff>133350</xdr:rowOff>
        </xdr:from>
        <xdr:to>
          <xdr:col>5</xdr:col>
          <xdr:colOff>1495425</xdr:colOff>
          <xdr:row>8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B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Usuń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66676</xdr:colOff>
      <xdr:row>6</xdr:row>
      <xdr:rowOff>38101</xdr:rowOff>
    </xdr:from>
    <xdr:to>
      <xdr:col>0</xdr:col>
      <xdr:colOff>390526</xdr:colOff>
      <xdr:row>7</xdr:row>
      <xdr:rowOff>171451</xdr:rowOff>
    </xdr:to>
    <xdr:pic macro="[0]!OpenHomePage">
      <xdr:nvPicPr>
        <xdr:cNvPr id="4" name="Obraz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6" y="1333501"/>
          <a:ext cx="323850" cy="32385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28575</xdr:rowOff>
    </xdr:from>
    <xdr:to>
      <xdr:col>2</xdr:col>
      <xdr:colOff>152400</xdr:colOff>
      <xdr:row>5</xdr:row>
      <xdr:rowOff>142875</xdr:rowOff>
    </xdr:to>
    <xdr:pic>
      <xdr:nvPicPr>
        <xdr:cNvPr id="6" name="Obraz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28575"/>
          <a:ext cx="1209675" cy="12096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7</xdr:row>
          <xdr:rowOff>57150</xdr:rowOff>
        </xdr:from>
        <xdr:to>
          <xdr:col>5</xdr:col>
          <xdr:colOff>142875</xdr:colOff>
          <xdr:row>8</xdr:row>
          <xdr:rowOff>180975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rok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7</xdr:row>
          <xdr:rowOff>28575</xdr:rowOff>
        </xdr:from>
        <xdr:to>
          <xdr:col>6</xdr:col>
          <xdr:colOff>342900</xdr:colOff>
          <xdr:row>9</xdr:row>
          <xdr:rowOff>9525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C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KONFIGURUJ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9</xdr:row>
          <xdr:rowOff>180975</xdr:rowOff>
        </xdr:from>
        <xdr:to>
          <xdr:col>3</xdr:col>
          <xdr:colOff>895350</xdr:colOff>
          <xdr:row>18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C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sortuj A-Z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9</xdr:row>
          <xdr:rowOff>161925</xdr:rowOff>
        </xdr:from>
        <xdr:to>
          <xdr:col>3</xdr:col>
          <xdr:colOff>1647825</xdr:colOff>
          <xdr:row>18</xdr:row>
          <xdr:rowOff>19050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C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sortuj Z-A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76200</xdr:colOff>
      <xdr:row>6</xdr:row>
      <xdr:rowOff>57150</xdr:rowOff>
    </xdr:from>
    <xdr:to>
      <xdr:col>0</xdr:col>
      <xdr:colOff>400050</xdr:colOff>
      <xdr:row>8</xdr:row>
      <xdr:rowOff>0</xdr:rowOff>
    </xdr:to>
    <xdr:pic macro="[0]!OpenHomePage">
      <xdr:nvPicPr>
        <xdr:cNvPr id="2" name="Obraz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1352550"/>
          <a:ext cx="323850" cy="3238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228599</xdr:colOff>
      <xdr:row>0</xdr:row>
      <xdr:rowOff>142874</xdr:rowOff>
    </xdr:from>
    <xdr:to>
      <xdr:col>2</xdr:col>
      <xdr:colOff>28574</xdr:colOff>
      <xdr:row>5</xdr:row>
      <xdr:rowOff>66674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" y="142874"/>
          <a:ext cx="1019175" cy="10191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6</xdr:row>
          <xdr:rowOff>152400</xdr:rowOff>
        </xdr:from>
        <xdr:to>
          <xdr:col>3</xdr:col>
          <xdr:colOff>466725</xdr:colOff>
          <xdr:row>8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D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Dodaj nową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638175</xdr:colOff>
          <xdr:row>6</xdr:row>
          <xdr:rowOff>142875</xdr:rowOff>
        </xdr:from>
        <xdr:to>
          <xdr:col>3</xdr:col>
          <xdr:colOff>1571625</xdr:colOff>
          <xdr:row>8</xdr:row>
          <xdr:rowOff>161925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D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Edytuj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1790700</xdr:colOff>
          <xdr:row>6</xdr:row>
          <xdr:rowOff>152400</xdr:rowOff>
        </xdr:from>
        <xdr:to>
          <xdr:col>3</xdr:col>
          <xdr:colOff>2581275</xdr:colOff>
          <xdr:row>8</xdr:row>
          <xdr:rowOff>152400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D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Usuń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6</xdr:row>
          <xdr:rowOff>104775</xdr:rowOff>
        </xdr:from>
        <xdr:to>
          <xdr:col>9</xdr:col>
          <xdr:colOff>485775</xdr:colOff>
          <xdr:row>8</xdr:row>
          <xdr:rowOff>133350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D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Przypisz zmiane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666750</xdr:colOff>
          <xdr:row>6</xdr:row>
          <xdr:rowOff>95250</xdr:rowOff>
        </xdr:from>
        <xdr:to>
          <xdr:col>10</xdr:col>
          <xdr:colOff>76200</xdr:colOff>
          <xdr:row>8</xdr:row>
          <xdr:rowOff>123825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D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Usuń przypisanie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66675</xdr:colOff>
      <xdr:row>6</xdr:row>
      <xdr:rowOff>66675</xdr:rowOff>
    </xdr:from>
    <xdr:to>
      <xdr:col>0</xdr:col>
      <xdr:colOff>390525</xdr:colOff>
      <xdr:row>8</xdr:row>
      <xdr:rowOff>9525</xdr:rowOff>
    </xdr:to>
    <xdr:pic macro="[0]!OpenHomePage">
      <xdr:nvPicPr>
        <xdr:cNvPr id="2" name="Obraz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362075"/>
          <a:ext cx="323850" cy="32385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76200</xdr:rowOff>
    </xdr:from>
    <xdr:to>
      <xdr:col>2</xdr:col>
      <xdr:colOff>28575</xdr:colOff>
      <xdr:row>5</xdr:row>
      <xdr:rowOff>76200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76200"/>
          <a:ext cx="1095375" cy="10953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6</xdr:row>
          <xdr:rowOff>161925</xdr:rowOff>
        </xdr:from>
        <xdr:to>
          <xdr:col>3</xdr:col>
          <xdr:colOff>1647825</xdr:colOff>
          <xdr:row>8</xdr:row>
          <xdr:rowOff>161925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Dodaj Nowy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1962150</xdr:colOff>
          <xdr:row>6</xdr:row>
          <xdr:rowOff>180975</xdr:rowOff>
        </xdr:from>
        <xdr:to>
          <xdr:col>4</xdr:col>
          <xdr:colOff>609600</xdr:colOff>
          <xdr:row>8</xdr:row>
          <xdr:rowOff>152400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Edytuj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819150</xdr:colOff>
          <xdr:row>6</xdr:row>
          <xdr:rowOff>152400</xdr:rowOff>
        </xdr:from>
        <xdr:to>
          <xdr:col>4</xdr:col>
          <xdr:colOff>1685925</xdr:colOff>
          <xdr:row>8</xdr:row>
          <xdr:rowOff>123825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E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Usuń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57150</xdr:colOff>
      <xdr:row>6</xdr:row>
      <xdr:rowOff>38100</xdr:rowOff>
    </xdr:from>
    <xdr:to>
      <xdr:col>0</xdr:col>
      <xdr:colOff>381000</xdr:colOff>
      <xdr:row>7</xdr:row>
      <xdr:rowOff>171450</xdr:rowOff>
    </xdr:to>
    <xdr:pic macro="[0]!OpenHomePage">
      <xdr:nvPicPr>
        <xdr:cNvPr id="2" name="Obraz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333500"/>
          <a:ext cx="323850" cy="32385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0</xdr:row>
      <xdr:rowOff>114300</xdr:rowOff>
    </xdr:from>
    <xdr:to>
      <xdr:col>2</xdr:col>
      <xdr:colOff>0</xdr:colOff>
      <xdr:row>5</xdr:row>
      <xdr:rowOff>57150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14300"/>
          <a:ext cx="1038225" cy="10382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6</xdr:row>
          <xdr:rowOff>171450</xdr:rowOff>
        </xdr:from>
        <xdr:to>
          <xdr:col>3</xdr:col>
          <xdr:colOff>1247775</xdr:colOff>
          <xdr:row>8</xdr:row>
          <xdr:rowOff>133350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F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DODAJ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1447800</xdr:colOff>
          <xdr:row>6</xdr:row>
          <xdr:rowOff>161925</xdr:rowOff>
        </xdr:from>
        <xdr:to>
          <xdr:col>4</xdr:col>
          <xdr:colOff>533400</xdr:colOff>
          <xdr:row>8</xdr:row>
          <xdr:rowOff>133350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F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Edytuj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6</xdr:row>
          <xdr:rowOff>133350</xdr:rowOff>
        </xdr:from>
        <xdr:to>
          <xdr:col>5</xdr:col>
          <xdr:colOff>714375</xdr:colOff>
          <xdr:row>8</xdr:row>
          <xdr:rowOff>114300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F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USUŃ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47625</xdr:colOff>
      <xdr:row>6</xdr:row>
      <xdr:rowOff>47625</xdr:rowOff>
    </xdr:from>
    <xdr:to>
      <xdr:col>0</xdr:col>
      <xdr:colOff>371475</xdr:colOff>
      <xdr:row>7</xdr:row>
      <xdr:rowOff>180975</xdr:rowOff>
    </xdr:to>
    <xdr:pic macro="[0]!OpenHomePage">
      <xdr:nvPicPr>
        <xdr:cNvPr id="2" name="Obraz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43025"/>
          <a:ext cx="323850" cy="32385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1333500</xdr:colOff>
          <xdr:row>16</xdr:row>
          <xdr:rowOff>133350</xdr:rowOff>
        </xdr:from>
        <xdr:to>
          <xdr:col>4</xdr:col>
          <xdr:colOff>2124075</xdr:colOff>
          <xdr:row>17</xdr:row>
          <xdr:rowOff>152400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Informacje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15</xdr:row>
          <xdr:rowOff>133350</xdr:rowOff>
        </xdr:from>
        <xdr:to>
          <xdr:col>3</xdr:col>
          <xdr:colOff>371475</xdr:colOff>
          <xdr:row>17</xdr:row>
          <xdr:rowOff>171450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Dodaj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609600</xdr:colOff>
          <xdr:row>15</xdr:row>
          <xdr:rowOff>123825</xdr:rowOff>
        </xdr:from>
        <xdr:to>
          <xdr:col>4</xdr:col>
          <xdr:colOff>666750</xdr:colOff>
          <xdr:row>17</xdr:row>
          <xdr:rowOff>161925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10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Usuń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8</xdr:row>
          <xdr:rowOff>9525</xdr:rowOff>
        </xdr:from>
        <xdr:to>
          <xdr:col>4</xdr:col>
          <xdr:colOff>771525</xdr:colOff>
          <xdr:row>8</xdr:row>
          <xdr:rowOff>180975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1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zmień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238125</xdr:colOff>
      <xdr:row>0</xdr:row>
      <xdr:rowOff>76200</xdr:rowOff>
    </xdr:from>
    <xdr:to>
      <xdr:col>2</xdr:col>
      <xdr:colOff>47625</xdr:colOff>
      <xdr:row>5</xdr:row>
      <xdr:rowOff>9525</xdr:rowOff>
    </xdr:to>
    <xdr:pic>
      <xdr:nvPicPr>
        <xdr:cNvPr id="6" name="Obraz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76200"/>
          <a:ext cx="1028700" cy="1028700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6</xdr:row>
      <xdr:rowOff>38100</xdr:rowOff>
    </xdr:from>
    <xdr:to>
      <xdr:col>0</xdr:col>
      <xdr:colOff>390525</xdr:colOff>
      <xdr:row>7</xdr:row>
      <xdr:rowOff>171450</xdr:rowOff>
    </xdr:to>
    <xdr:pic macro="[0]!OpenHomePage">
      <xdr:nvPicPr>
        <xdr:cNvPr id="2" name="Obraz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333500"/>
          <a:ext cx="323850" cy="32385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0</xdr:row>
      <xdr:rowOff>133350</xdr:rowOff>
    </xdr:from>
    <xdr:to>
      <xdr:col>1</xdr:col>
      <xdr:colOff>561975</xdr:colOff>
      <xdr:row>4</xdr:row>
      <xdr:rowOff>161925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133350"/>
          <a:ext cx="933450" cy="933450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6</xdr:row>
      <xdr:rowOff>38100</xdr:rowOff>
    </xdr:from>
    <xdr:to>
      <xdr:col>0</xdr:col>
      <xdr:colOff>390525</xdr:colOff>
      <xdr:row>7</xdr:row>
      <xdr:rowOff>171450</xdr:rowOff>
    </xdr:to>
    <xdr:pic macro="[0]!OpenHomePage">
      <xdr:nvPicPr>
        <xdr:cNvPr id="2" name="Obraz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333500"/>
          <a:ext cx="323850" cy="32385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0</xdr:row>
      <xdr:rowOff>66675</xdr:rowOff>
    </xdr:from>
    <xdr:to>
      <xdr:col>2</xdr:col>
      <xdr:colOff>47625</xdr:colOff>
      <xdr:row>5</xdr:row>
      <xdr:rowOff>47625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66675"/>
          <a:ext cx="1076325" cy="107632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6</xdr:row>
      <xdr:rowOff>47625</xdr:rowOff>
    </xdr:from>
    <xdr:to>
      <xdr:col>0</xdr:col>
      <xdr:colOff>381000</xdr:colOff>
      <xdr:row>7</xdr:row>
      <xdr:rowOff>180975</xdr:rowOff>
    </xdr:to>
    <xdr:pic macro="[0]!OpenHomePage">
      <xdr:nvPicPr>
        <xdr:cNvPr id="2" name="Obraz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343025"/>
          <a:ext cx="323850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1304925</xdr:colOff>
          <xdr:row>7</xdr:row>
          <xdr:rowOff>180975</xdr:rowOff>
        </xdr:from>
        <xdr:to>
          <xdr:col>4</xdr:col>
          <xdr:colOff>1914525</xdr:colOff>
          <xdr:row>18</xdr:row>
          <xdr:rowOff>38100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2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Definiuj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zgo%20nowa%20prawa\Programy\sztuczka%20szklana\Kontrola%20st&#322;uczki%20szklanej1.xlsm" TargetMode="External"/><Relationship Id="rId1" Type="http://schemas.openxmlformats.org/officeDocument/2006/relationships/externalLinkPath" Target="/zgo%20nowa%20prawa/Programy/sztuczka%20szklana/Kontrola%20st&#322;uczki%20szklanej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PAGE"/>
      <sheetName val="FORMULARZ"/>
      <sheetName val="oświadczenie"/>
      <sheetName val="Baza_Main"/>
      <sheetName val="Baza_Details"/>
      <sheetName val="bazaRoboczaAktualnychProbek"/>
      <sheetName val="formularz_etap2_BEZBARWNE"/>
      <sheetName val="Baza_wymaganiaJakosciowe"/>
      <sheetName val="panel_administratora"/>
    </sheetNames>
    <sheetDataSet>
      <sheetData sheetId="0"/>
      <sheetData sheetId="1"/>
      <sheetData sheetId="2"/>
      <sheetData sheetId="3">
        <row r="2">
          <cell r="C2" t="str">
            <v xml:space="preserve">BAZA - wymagania jakościowe </v>
          </cell>
        </row>
        <row r="10">
          <cell r="C10" t="str">
            <v>LP.</v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Rodzaj_nieobecności" xr10:uid="{87F161C0-3DDE-4206-AF09-454E00A3E758}" sourceName="Rodzaj nieobecności">
  <extLst>
    <x:ext xmlns:x15="http://schemas.microsoft.com/office/spreadsheetml/2010/11/main" uri="{2F2917AC-EB37-4324-AD4E-5DD8C200BD13}">
      <x15:tableSlicerCache tableId="2" column="3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Pion" xr10:uid="{5A15107D-8704-4C82-A7DC-7D9F3E6CE762}" sourceName="Pion">
  <extLst>
    <x:ext xmlns:x15="http://schemas.microsoft.com/office/spreadsheetml/2010/11/main" uri="{2F2917AC-EB37-4324-AD4E-5DD8C200BD13}">
      <x15:tableSlicerCache tableId="3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ion" xr10:uid="{0BF4A0EA-2907-4760-A113-0570F2F07046}" cache="Fragmentator_Pion" caption="Pion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odzaj nieobecności" xr10:uid="{E4DACFA7-658D-4567-9491-CCE4F979E6A9}" cache="Fragmentator_Rodzaj_nieobecności" caption="Rodzaj nieobecności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6D5F7FB-D7F8-4AA8-BAFF-4D76473D69B1}" name="Tabela_ZStanurlopunadzien" displayName="Tabela_ZStanurlopunadzien" ref="C23:I262" totalsRowShown="0" headerRowDxfId="55" headerRowBorderDxfId="54" tableBorderDxfId="53" totalsRowBorderDxfId="52">
  <autoFilter ref="C23:I262" xr:uid="{76D5F7FB-D7F8-4AA8-BAFF-4D76473D69B1}"/>
  <tableColumns count="7">
    <tableColumn id="1" xr3:uid="{3CA814C3-82CE-4375-B1E7-EBE60775ED19}" name="id" dataDxfId="51"/>
    <tableColumn id="2" xr3:uid="{F3837C13-4EB9-44C3-8F8C-01366A8EDB17}" name="nazwisko, imię, oznaczenie" dataDxfId="50"/>
    <tableColumn id="3" xr3:uid="{0DA3416A-C030-4FAD-9DAA-533EA43F9749}" name="Pion" dataDxfId="49"/>
    <tableColumn id="4" xr3:uid="{0A24CF98-567A-472C-9241-A100A43D8FD5}" name="Grupa" dataDxfId="48"/>
    <tableColumn id="5" xr3:uid="{ADA4BED9-CB12-4AF4-87B2-3AAF8CDA4675}" name="Pozostało 2022" dataDxfId="47"/>
    <tableColumn id="6" xr3:uid="{AF6F5F1B-B753-4D5A-A5BD-91265CB2DDE0}" name="Pozostało 2023" dataDxfId="46"/>
    <tableColumn id="7" xr3:uid="{FD042BCB-4830-4C93-90F8-01828282EDDC}" name="Suma" dataDxfId="4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033ED14-98CA-41E7-AD69-D780143A8C62}" name="Table_report_all_absence" displayName="Table_report_all_absence" ref="C27:L799" insertRowShift="1" headerRowDxfId="43" dataDxfId="41" headerRowBorderDxfId="42" tableBorderDxfId="40">
  <autoFilter ref="C27:L799" xr:uid="{6033ED14-98CA-41E7-AD69-D780143A8C62}">
    <filterColumn colId="1">
      <filters>
        <filter val="ALBERT ANASTASIA"/>
      </filters>
    </filterColumn>
  </autoFilter>
  <tableColumns count="10">
    <tableColumn id="1" xr3:uid="{9425B559-29A8-40DD-823F-A8779599ED51}" name="L.p." totalsRowLabel="Suma" dataDxfId="39" totalsRowDxfId="38"/>
    <tableColumn id="2" xr3:uid="{04D54B99-9D5C-4F98-8940-2AB08AAED5AD}" name="Nazwisko i imię pracownika " dataDxfId="37" totalsRowDxfId="36"/>
    <tableColumn id="3" xr3:uid="{7F510E98-381F-4986-90DC-2FE9F86CF635}" name="Rodzaj nieobecności" dataDxfId="35" totalsRowDxfId="34"/>
    <tableColumn id="9" xr3:uid="{10E0B25A-77FC-4E35-9208-997504991B9E}" name="odbiór za:" dataDxfId="33" totalsRowDxfId="32"/>
    <tableColumn id="4" xr3:uid="{A77C72E4-96B6-4AFC-BA38-0DC8BD56B8A2}" name="Data wystawienia" dataDxfId="31" totalsRowDxfId="30"/>
    <tableColumn id="5" xr3:uid="{71987DDC-A457-4679-AC9E-9BC35C294CD1}" name="Od" dataDxfId="29" totalsRowDxfId="28"/>
    <tableColumn id="6" xr3:uid="{826A42CD-AF46-4495-8E92-46DAD85E23BB}" name="Do" dataDxfId="27" totalsRowDxfId="26"/>
    <tableColumn id="7" xr3:uid="{FA7C2D51-2027-4F20-93F1-832FAD673CCE}" name="Ilość dni trwania" dataDxfId="25" totalsRowDxfId="24"/>
    <tableColumn id="8" xr3:uid="{3A242E8C-CE1A-4522-A82D-B15F54690CBA}" name="Ilość dni roboczych" totalsRowFunction="count" dataDxfId="23" totalsRowDxfId="22"/>
    <tableColumn id="10" xr3:uid="{40DED480-53C1-4C73-8E50-7F3D7DD9F34F}" name="Uwagi" dataDxfId="21" totalsRowDxfId="2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mmackowiak.pl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image" Target="../media/image5.emf"/><Relationship Id="rId10" Type="http://schemas.openxmlformats.org/officeDocument/2006/relationships/ctrlProp" Target="../ctrlProps/ctrlProp9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2.emf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24.xml"/><Relationship Id="rId5" Type="http://schemas.openxmlformats.org/officeDocument/2006/relationships/image" Target="../media/image11.emf"/><Relationship Id="rId10" Type="http://schemas.openxmlformats.org/officeDocument/2006/relationships/ctrlProp" Target="../ctrlProps/ctrlProp23.xml"/><Relationship Id="rId4" Type="http://schemas.openxmlformats.org/officeDocument/2006/relationships/control" Target="../activeX/activeX2.xml"/><Relationship Id="rId9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6" Type="http://schemas.microsoft.com/office/2007/relationships/slicer" Target="../slicers/slicer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16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6.xml"/><Relationship Id="rId11" Type="http://schemas.microsoft.com/office/2007/relationships/slicer" Target="../slicers/slicer2.xml"/><Relationship Id="rId5" Type="http://schemas.openxmlformats.org/officeDocument/2006/relationships/image" Target="../media/image15.emf"/><Relationship Id="rId10" Type="http://schemas.openxmlformats.org/officeDocument/2006/relationships/table" Target="../tables/table2.xml"/><Relationship Id="rId4" Type="http://schemas.openxmlformats.org/officeDocument/2006/relationships/control" Target="../activeX/activeX5.xml"/><Relationship Id="rId9" Type="http://schemas.openxmlformats.org/officeDocument/2006/relationships/ctrlProp" Target="../ctrlProps/ctrlProp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4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7" Type="http://schemas.openxmlformats.org/officeDocument/2006/relationships/ctrlProp" Target="../ctrlProps/ctrlProp4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B0603-9F0F-4896-9771-27D5492004C2}">
  <sheetPr codeName="Arkusz2">
    <tabColor rgb="FF92D050"/>
  </sheetPr>
  <dimension ref="A1:AA51"/>
  <sheetViews>
    <sheetView showGridLines="0" showRowColHeaders="0" tabSelected="1" topLeftCell="A9" zoomScale="115" zoomScaleNormal="115" workbookViewId="0">
      <selection activeCell="H6" sqref="H6"/>
    </sheetView>
  </sheetViews>
  <sheetFormatPr defaultColWidth="0" defaultRowHeight="15" zeroHeight="1" x14ac:dyDescent="0.25"/>
  <cols>
    <col min="1" max="1" width="2.140625" customWidth="1"/>
    <col min="2" max="2" width="24.5703125" customWidth="1"/>
    <col min="3" max="27" width="9.140625" customWidth="1"/>
    <col min="28" max="16384" width="9.140625" hidden="1"/>
  </cols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ht="33.75" x14ac:dyDescent="0.5">
      <c r="A2" s="1"/>
      <c r="B2" s="1"/>
      <c r="C2" s="1"/>
      <c r="D2" s="90" t="s">
        <v>90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x14ac:dyDescent="0.25">
      <c r="A3" s="1"/>
      <c r="B3" s="1"/>
      <c r="C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15.75" thickBot="1" x14ac:dyDescent="0.3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7" x14ac:dyDescent="0.25">
      <c r="A7" s="1"/>
      <c r="B7" s="1"/>
      <c r="C7" s="1"/>
      <c r="D7" s="1"/>
      <c r="E7" s="1"/>
    </row>
    <row r="8" spans="1:27" x14ac:dyDescent="0.25">
      <c r="R8" s="26" t="s">
        <v>220</v>
      </c>
      <c r="S8" t="str">
        <f>activeUserName</f>
        <v>Admin</v>
      </c>
    </row>
    <row r="9" spans="1:27" ht="21" x14ac:dyDescent="0.35">
      <c r="A9" s="74" t="s">
        <v>91</v>
      </c>
      <c r="B9" s="73"/>
      <c r="R9" s="26" t="s">
        <v>221</v>
      </c>
      <c r="S9" s="254">
        <f ca="1">TODAY()</f>
        <v>45024</v>
      </c>
      <c r="T9" s="254"/>
    </row>
    <row r="10" spans="1:27" x14ac:dyDescent="0.25">
      <c r="A10" s="8"/>
      <c r="B10" s="69" t="s">
        <v>93</v>
      </c>
      <c r="E10" s="26"/>
    </row>
    <row r="11" spans="1:27" ht="15.75" thickBot="1" x14ac:dyDescent="0.3">
      <c r="A11" s="8"/>
      <c r="B11" s="70" t="s">
        <v>202</v>
      </c>
      <c r="E11" s="26"/>
    </row>
    <row r="12" spans="1:27" x14ac:dyDescent="0.25">
      <c r="A12" s="8"/>
      <c r="B12" s="69" t="s">
        <v>203</v>
      </c>
      <c r="E12" s="219"/>
      <c r="F12" s="220"/>
      <c r="G12" s="220"/>
      <c r="H12" s="220"/>
      <c r="I12" s="220"/>
      <c r="J12" s="220"/>
      <c r="K12" s="221"/>
      <c r="N12" s="229"/>
      <c r="O12" s="230"/>
      <c r="P12" s="230"/>
      <c r="Q12" s="230"/>
      <c r="R12" s="230"/>
      <c r="S12" s="230"/>
      <c r="T12" s="231"/>
    </row>
    <row r="13" spans="1:27" ht="21" x14ac:dyDescent="0.35">
      <c r="A13" s="8"/>
      <c r="B13" s="69" t="s">
        <v>197</v>
      </c>
      <c r="E13" s="222"/>
      <c r="F13" s="223"/>
      <c r="G13" s="223"/>
      <c r="H13" s="239" t="s">
        <v>219</v>
      </c>
      <c r="I13" s="223"/>
      <c r="J13" s="223"/>
      <c r="K13" s="224"/>
      <c r="N13" s="232"/>
      <c r="O13" s="233"/>
      <c r="P13" s="233"/>
      <c r="Q13" s="252" t="s">
        <v>222</v>
      </c>
      <c r="R13" s="233"/>
      <c r="S13" s="233"/>
      <c r="T13" s="234"/>
    </row>
    <row r="14" spans="1:27" ht="15" customHeight="1" x14ac:dyDescent="0.25">
      <c r="A14" s="8"/>
      <c r="B14" s="69"/>
      <c r="E14" s="222"/>
      <c r="F14" s="223"/>
      <c r="G14" s="223"/>
      <c r="H14" s="223"/>
      <c r="I14" s="225"/>
      <c r="J14" s="223"/>
      <c r="K14" s="224"/>
      <c r="N14" s="232"/>
      <c r="O14" s="233"/>
      <c r="P14" s="233"/>
      <c r="Q14" s="233"/>
      <c r="R14" s="233"/>
      <c r="S14" s="233"/>
      <c r="T14" s="234"/>
    </row>
    <row r="15" spans="1:27" x14ac:dyDescent="0.25">
      <c r="A15" s="68" t="s">
        <v>94</v>
      </c>
      <c r="B15" s="69"/>
      <c r="E15" s="222"/>
      <c r="F15" s="223"/>
      <c r="G15" s="223"/>
      <c r="H15" s="223"/>
      <c r="I15" s="225" t="s">
        <v>217</v>
      </c>
      <c r="J15" s="238"/>
      <c r="K15" s="224"/>
      <c r="N15" s="232"/>
      <c r="O15" s="233"/>
      <c r="P15" s="233"/>
      <c r="Q15" s="233"/>
      <c r="R15" s="240" t="s">
        <v>223</v>
      </c>
      <c r="S15" s="238"/>
      <c r="T15" s="234"/>
    </row>
    <row r="16" spans="1:27" x14ac:dyDescent="0.25">
      <c r="A16" s="68"/>
      <c r="B16" s="70" t="s">
        <v>204</v>
      </c>
      <c r="E16" s="222"/>
      <c r="F16" s="223"/>
      <c r="G16" s="223"/>
      <c r="H16" s="223"/>
      <c r="I16" s="225" t="s">
        <v>218</v>
      </c>
      <c r="J16" s="238"/>
      <c r="K16" s="224"/>
      <c r="N16" s="232"/>
      <c r="O16" s="233"/>
      <c r="P16" s="233"/>
      <c r="Q16" s="233"/>
      <c r="R16" s="240" t="s">
        <v>224</v>
      </c>
      <c r="S16" s="238"/>
      <c r="T16" s="234"/>
    </row>
    <row r="17" spans="1:20" x14ac:dyDescent="0.25">
      <c r="A17" s="68"/>
      <c r="B17" s="70" t="s">
        <v>183</v>
      </c>
      <c r="E17" s="222"/>
      <c r="F17" s="223"/>
      <c r="G17" s="223"/>
      <c r="H17" s="223"/>
      <c r="I17" s="223"/>
      <c r="J17" s="223"/>
      <c r="K17" s="224"/>
      <c r="N17" s="232"/>
      <c r="O17" s="233"/>
      <c r="P17" s="233"/>
      <c r="Q17" s="233"/>
      <c r="R17" s="233"/>
      <c r="S17" s="233"/>
      <c r="T17" s="234"/>
    </row>
    <row r="18" spans="1:20" ht="15.75" thickBot="1" x14ac:dyDescent="0.3">
      <c r="A18" s="68"/>
      <c r="B18" s="70" t="s">
        <v>200</v>
      </c>
      <c r="E18" s="226"/>
      <c r="F18" s="227"/>
      <c r="G18" s="227"/>
      <c r="H18" s="227"/>
      <c r="I18" s="227"/>
      <c r="J18" s="227"/>
      <c r="K18" s="228"/>
      <c r="N18" s="235"/>
      <c r="O18" s="236"/>
      <c r="P18" s="236"/>
      <c r="Q18" s="236"/>
      <c r="R18" s="236"/>
      <c r="S18" s="236"/>
      <c r="T18" s="237"/>
    </row>
    <row r="19" spans="1:20" x14ac:dyDescent="0.25">
      <c r="A19" s="8"/>
      <c r="B19" s="69"/>
    </row>
    <row r="20" spans="1:20" x14ac:dyDescent="0.25">
      <c r="A20" s="68" t="s">
        <v>95</v>
      </c>
      <c r="B20" s="69"/>
    </row>
    <row r="21" spans="1:20" x14ac:dyDescent="0.25">
      <c r="A21" s="8"/>
      <c r="B21" s="69" t="s">
        <v>205</v>
      </c>
    </row>
    <row r="22" spans="1:20" ht="15.75" thickBot="1" x14ac:dyDescent="0.3">
      <c r="A22" s="8"/>
      <c r="B22" s="70" t="s">
        <v>206</v>
      </c>
    </row>
    <row r="23" spans="1:20" x14ac:dyDescent="0.25">
      <c r="A23" s="8"/>
      <c r="B23" s="70" t="s">
        <v>201</v>
      </c>
      <c r="E23" s="242"/>
      <c r="F23" s="243"/>
      <c r="G23" s="243"/>
      <c r="H23" s="243"/>
      <c r="I23" s="243"/>
      <c r="J23" s="243"/>
      <c r="K23" s="243"/>
      <c r="L23" s="243"/>
      <c r="M23" s="243"/>
      <c r="N23" s="243"/>
      <c r="O23" s="243"/>
      <c r="P23" s="243"/>
      <c r="Q23" s="243"/>
      <c r="R23" s="243"/>
      <c r="S23" s="243"/>
      <c r="T23" s="244"/>
    </row>
    <row r="24" spans="1:20" ht="15.75" customHeight="1" x14ac:dyDescent="0.35">
      <c r="A24" s="8"/>
      <c r="B24" s="70" t="s">
        <v>207</v>
      </c>
      <c r="E24" s="245"/>
      <c r="F24" s="246"/>
      <c r="G24" s="246"/>
      <c r="H24" s="251" t="s">
        <v>226</v>
      </c>
      <c r="I24" s="246"/>
      <c r="J24" s="246"/>
      <c r="K24" s="246"/>
      <c r="L24" s="246"/>
      <c r="M24" s="246"/>
      <c r="N24" s="246"/>
      <c r="O24" s="246"/>
      <c r="P24" s="246"/>
      <c r="Q24" s="246"/>
      <c r="R24" s="246"/>
      <c r="S24" s="246"/>
      <c r="T24" s="247"/>
    </row>
    <row r="25" spans="1:20" ht="17.25" customHeight="1" x14ac:dyDescent="0.25">
      <c r="A25" s="8"/>
      <c r="B25" s="70"/>
      <c r="E25" s="245"/>
      <c r="F25" s="246"/>
      <c r="G25" s="246"/>
      <c r="H25" s="246"/>
      <c r="I25" s="246"/>
      <c r="J25" s="246"/>
      <c r="K25" s="246"/>
      <c r="L25" s="246"/>
      <c r="M25" s="246"/>
      <c r="N25" s="246"/>
      <c r="O25" s="246"/>
      <c r="P25" s="246"/>
      <c r="Q25" s="246" t="s">
        <v>228</v>
      </c>
      <c r="R25" s="246"/>
      <c r="S25" s="246"/>
      <c r="T25" s="247"/>
    </row>
    <row r="26" spans="1:20" x14ac:dyDescent="0.25">
      <c r="A26" s="68" t="s">
        <v>92</v>
      </c>
      <c r="B26" s="70"/>
      <c r="E26" s="245"/>
      <c r="F26" s="246"/>
      <c r="G26" s="246"/>
      <c r="H26" s="246"/>
      <c r="I26" s="246"/>
      <c r="J26" s="246"/>
      <c r="K26" s="246"/>
      <c r="L26" s="246"/>
      <c r="M26" s="246"/>
      <c r="N26" s="246"/>
      <c r="O26" s="246"/>
      <c r="P26" s="246"/>
      <c r="Q26" s="246"/>
      <c r="R26" s="255">
        <v>45018</v>
      </c>
      <c r="S26" s="255"/>
      <c r="T26" s="247"/>
    </row>
    <row r="27" spans="1:20" x14ac:dyDescent="0.25">
      <c r="A27" s="8"/>
      <c r="B27" s="70" t="str">
        <f>HYPERLINK(I5,"Pracownicy                            ")</f>
        <v xml:space="preserve">Pracownicy                            </v>
      </c>
      <c r="E27" s="245"/>
      <c r="F27" s="246"/>
      <c r="G27" s="246"/>
      <c r="H27" s="246"/>
      <c r="I27" s="246"/>
      <c r="J27" s="246"/>
      <c r="K27" s="246"/>
      <c r="L27" s="246"/>
      <c r="M27" s="246"/>
      <c r="N27" s="246"/>
      <c r="O27" s="246"/>
      <c r="P27" s="246"/>
      <c r="Q27" s="246"/>
      <c r="R27" s="246"/>
      <c r="S27" s="246"/>
      <c r="T27" s="247"/>
    </row>
    <row r="28" spans="1:20" x14ac:dyDescent="0.25">
      <c r="A28" s="8"/>
      <c r="B28" s="70" t="s">
        <v>208</v>
      </c>
      <c r="E28" s="245"/>
      <c r="F28" s="246"/>
      <c r="G28" s="246"/>
      <c r="H28" s="246"/>
      <c r="I28" s="246"/>
      <c r="J28" s="246"/>
      <c r="K28" s="246"/>
      <c r="L28" s="246"/>
      <c r="M28" s="246"/>
      <c r="N28" s="246"/>
      <c r="O28" s="246"/>
      <c r="P28" s="246"/>
      <c r="Q28" s="246"/>
      <c r="R28" s="246"/>
      <c r="S28" s="246"/>
      <c r="T28" s="247"/>
    </row>
    <row r="29" spans="1:20" ht="15.75" thickBot="1" x14ac:dyDescent="0.3">
      <c r="A29" s="8"/>
      <c r="B29" s="70" t="s">
        <v>209</v>
      </c>
      <c r="E29" s="248"/>
      <c r="F29" s="249"/>
      <c r="G29" s="249"/>
      <c r="H29" s="249"/>
      <c r="I29" s="249"/>
      <c r="J29" s="249"/>
      <c r="K29" s="249"/>
      <c r="L29" s="249"/>
      <c r="M29" s="249"/>
      <c r="N29" s="249"/>
      <c r="O29" s="249"/>
      <c r="P29" s="249"/>
      <c r="Q29" s="249"/>
      <c r="R29" s="249"/>
      <c r="S29" s="249"/>
      <c r="T29" s="250"/>
    </row>
    <row r="30" spans="1:20" x14ac:dyDescent="0.25">
      <c r="A30" s="8"/>
      <c r="B30" s="70" t="str">
        <f>HYPERLINK(I5,"Piony                                      ")</f>
        <v xml:space="preserve">Piony                                      </v>
      </c>
    </row>
    <row r="31" spans="1:20" x14ac:dyDescent="0.25">
      <c r="A31" s="8"/>
      <c r="B31" s="70" t="s">
        <v>210</v>
      </c>
    </row>
    <row r="32" spans="1:20" x14ac:dyDescent="0.25">
      <c r="A32" s="8"/>
      <c r="B32" s="70" t="s">
        <v>211</v>
      </c>
    </row>
    <row r="33" spans="1:26" x14ac:dyDescent="0.25">
      <c r="A33" s="8"/>
      <c r="B33" s="70" t="s">
        <v>212</v>
      </c>
    </row>
    <row r="34" spans="1:26" x14ac:dyDescent="0.25">
      <c r="A34" s="8"/>
      <c r="B34" s="69" t="str">
        <f>HYPERLINK(E5,"Godziny nocne                     ")</f>
        <v xml:space="preserve">Godziny nocne                     </v>
      </c>
    </row>
    <row r="35" spans="1:26" x14ac:dyDescent="0.25">
      <c r="A35" s="8"/>
      <c r="B35" s="71"/>
    </row>
    <row r="36" spans="1:26" x14ac:dyDescent="0.25">
      <c r="A36" s="8"/>
      <c r="B36" s="72"/>
    </row>
    <row r="37" spans="1:26" x14ac:dyDescent="0.25">
      <c r="A37" s="8"/>
      <c r="B37" s="69"/>
    </row>
    <row r="38" spans="1:26" x14ac:dyDescent="0.25">
      <c r="A38" s="8"/>
      <c r="B38" s="69"/>
    </row>
    <row r="39" spans="1:26" x14ac:dyDescent="0.25">
      <c r="A39" s="8"/>
      <c r="B39" s="69"/>
    </row>
    <row r="40" spans="1:26" x14ac:dyDescent="0.25">
      <c r="A40" s="8"/>
      <c r="B40" s="69"/>
    </row>
    <row r="41" spans="1:26" x14ac:dyDescent="0.25">
      <c r="A41" s="8"/>
      <c r="B41" s="69"/>
    </row>
    <row r="42" spans="1:26" x14ac:dyDescent="0.25">
      <c r="A42" s="8"/>
      <c r="B42" s="69"/>
    </row>
    <row r="43" spans="1:26" x14ac:dyDescent="0.25">
      <c r="A43" s="8"/>
      <c r="B43" s="69"/>
    </row>
    <row r="44" spans="1:26" x14ac:dyDescent="0.25">
      <c r="A44" s="8"/>
      <c r="B44" s="69"/>
    </row>
    <row r="45" spans="1:26" x14ac:dyDescent="0.25">
      <c r="A45" s="8"/>
      <c r="B45" s="69"/>
      <c r="V45" s="209"/>
      <c r="W45" s="210"/>
      <c r="X45" s="210"/>
      <c r="Y45" s="210"/>
      <c r="Z45" s="211"/>
    </row>
    <row r="46" spans="1:26" x14ac:dyDescent="0.25">
      <c r="A46" s="8"/>
      <c r="B46" s="69"/>
      <c r="V46" s="212"/>
      <c r="W46" s="26" t="s">
        <v>213</v>
      </c>
      <c r="X46" t="s">
        <v>214</v>
      </c>
      <c r="Z46" s="213"/>
    </row>
    <row r="47" spans="1:26" x14ac:dyDescent="0.25">
      <c r="A47" s="8"/>
      <c r="B47" s="69"/>
      <c r="V47" s="212"/>
      <c r="X47" s="214" t="s">
        <v>215</v>
      </c>
      <c r="Z47" s="213"/>
    </row>
    <row r="48" spans="1:26" x14ac:dyDescent="0.25">
      <c r="A48" s="8"/>
      <c r="B48" s="69"/>
      <c r="V48" s="212"/>
      <c r="X48" s="215" t="s">
        <v>216</v>
      </c>
      <c r="Z48" s="213"/>
    </row>
    <row r="49" spans="1:26" x14ac:dyDescent="0.25">
      <c r="A49" s="8"/>
      <c r="B49" s="69"/>
      <c r="V49" s="216"/>
      <c r="W49" s="241" t="s">
        <v>225</v>
      </c>
      <c r="X49" s="217"/>
      <c r="Y49" s="217"/>
      <c r="Z49" s="218"/>
    </row>
    <row r="50" spans="1:26" x14ac:dyDescent="0.25">
      <c r="A50" s="8"/>
      <c r="B50" s="69"/>
    </row>
    <row r="51" spans="1:26" x14ac:dyDescent="0.25">
      <c r="A51" s="8"/>
      <c r="B51" s="69"/>
    </row>
  </sheetData>
  <sheetProtection sheet="1" objects="1" scenarios="1"/>
  <mergeCells count="2">
    <mergeCell ref="S9:T9"/>
    <mergeCell ref="R26:S26"/>
  </mergeCells>
  <hyperlinks>
    <hyperlink ref="B34" location="'Godziny nocne'!A1" display="Godziny nocne" xr:uid="{A30D6A33-CBF1-424E-9CA8-043401D94F5B}"/>
    <hyperlink ref="B27" location="Pracownicy!A1" display="Pracownicy!A1" xr:uid="{53A942E3-D612-483B-85DA-BD6420EE8A0D}"/>
    <hyperlink ref="B32" location="Święta!A1" display="Święta" xr:uid="{03E9F59A-7022-4375-9CC6-68E88C0E2134}"/>
    <hyperlink ref="B31" location="Zmiany!A1" display="Zmiany" xr:uid="{F920A0AE-7FCE-4707-AEB3-435052B58B68}"/>
    <hyperlink ref="B30" location="Piony!A1" display="Piony" xr:uid="{0720803C-52D1-49E9-92FD-390D75A925FE}"/>
    <hyperlink ref="B29" location="Grupy!A1" display="Grupy" xr:uid="{B2F27A62-2313-448D-AD1E-9D42E7309FB4}"/>
    <hyperlink ref="B28" location="'Dni Urlopu'!A1" display="Dni Urlopu" xr:uid="{1D407531-4F34-45D4-A884-73E04FBB8636}"/>
    <hyperlink ref="B21" location="'Z - stan urlopu na piony'!A1" display="'Z - stan urlopu na piony'!A1" xr:uid="{507F5D19-6F6E-4481-9248-0ACD675952C4}"/>
    <hyperlink ref="B11" location="'EWIDENCJA miesięczna'!A1" display="Ewidencja miesięczna" xr:uid="{D4AD84A4-E12E-465A-8914-0A333F950575}"/>
    <hyperlink ref="B16" location="'P - Odbiór dni'!A1" display="Odbiór dni" xr:uid="{72E436AF-2385-4DEB-A328-D64F4EA8FC5C}"/>
    <hyperlink ref="B17" location="'P - Uzupełniona Ewidencja'!A1" display="Uzupełniona Ewidencja?" xr:uid="{DA7776E5-0238-4161-864D-C2D4D606E541}"/>
    <hyperlink ref="B18" location="'P - Uzupełniony Urlop'!A1" display="Uzupełniony Urlop?" xr:uid="{053356A2-51C1-4EF0-AD75-7EB9CB38E12E}"/>
    <hyperlink ref="B12" location="'Rozliczanie pracy'!W1K1" display="Rozliczenie pracy" xr:uid="{E8EDEAB6-0824-49C3-8E61-34665323DDB7}"/>
    <hyperlink ref="B22" location="'Z - EWIDENCJA ROCZNA'!W1K1" display="Ewidencja roczna" xr:uid="{02B68714-A37B-4558-9E9B-A0C550F87BFB}"/>
    <hyperlink ref="B33" location="'Typy nieobecności'!A1" display="Typy nieobecności" xr:uid="{64F8689E-E72E-49CF-B9B4-A11331573B71}"/>
    <hyperlink ref="B23" location="'Z - Wykaz nieobecnosci'!A1" display="Wykaz nieobecności                                    " xr:uid="{937AAA89-93D9-49D1-A600-AB9BFC0142A3}"/>
    <hyperlink ref="B24" location="'Z - Stan urlopu na dzień'!W1K1" display="Stan urlopu na dzień" xr:uid="{7CD71BD4-32BF-4477-A26D-617DD8D24E7B}"/>
    <hyperlink ref="X48" r:id="rId1" xr:uid="{91CF6573-D5AE-4A97-BEE7-3F5CC4F24623}"/>
  </hyperlinks>
  <pageMargins left="0.7" right="0.7" top="0.75" bottom="0.75" header="0.3" footer="0.3"/>
  <pageSetup paperSize="9"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3" r:id="rId5" name="Button 3">
              <controlPr defaultSize="0" print="0" autoFill="0" autoPict="0" macro="[0]!Open_FULLDOC_doc">
                <anchor moveWithCells="1">
                  <from>
                    <xdr:col>6</xdr:col>
                    <xdr:colOff>561975</xdr:colOff>
                    <xdr:row>25</xdr:row>
                    <xdr:rowOff>57150</xdr:rowOff>
                  </from>
                  <to>
                    <xdr:col>8</xdr:col>
                    <xdr:colOff>457200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4" r:id="rId6" name="Button 4">
              <controlPr defaultSize="0" print="0" autoFill="0" autoPict="0" macro="[0]!Open_VideoDoc_doc">
                <anchor moveWithCells="1">
                  <from>
                    <xdr:col>9</xdr:col>
                    <xdr:colOff>123825</xdr:colOff>
                    <xdr:row>25</xdr:row>
                    <xdr:rowOff>66675</xdr:rowOff>
                  </from>
                  <to>
                    <xdr:col>10</xdr:col>
                    <xdr:colOff>495300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5" r:id="rId7" name="Button 5">
              <controlPr defaultSize="0" print="0" autoFill="0" autoPict="0" macro="[0]!Open_FullFolder_doc">
                <anchor moveWithCells="1">
                  <from>
                    <xdr:col>11</xdr:col>
                    <xdr:colOff>190500</xdr:colOff>
                    <xdr:row>25</xdr:row>
                    <xdr:rowOff>76200</xdr:rowOff>
                  </from>
                  <to>
                    <xdr:col>13</xdr:col>
                    <xdr:colOff>85725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6" r:id="rId8" name="Button 6">
              <controlPr defaultSize="0" print="0" autoFill="0" autoPict="0" macro="[0]!Open_CHANGELOG_doc">
                <anchor moveWithCells="1">
                  <from>
                    <xdr:col>15</xdr:col>
                    <xdr:colOff>447675</xdr:colOff>
                    <xdr:row>25</xdr:row>
                    <xdr:rowOff>66675</xdr:rowOff>
                  </from>
                  <to>
                    <xdr:col>17</xdr:col>
                    <xdr:colOff>400050</xdr:colOff>
                    <xdr:row>27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36301-1572-4422-BFB0-3051E2719F2A}">
  <sheetPr codeName="Arkusz5">
    <tabColor rgb="FF00B0F0"/>
  </sheetPr>
  <dimension ref="A1:AB80"/>
  <sheetViews>
    <sheetView showGridLines="0" zoomScale="110" zoomScaleNormal="110" workbookViewId="0">
      <selection activeCell="M31" sqref="M31"/>
    </sheetView>
  </sheetViews>
  <sheetFormatPr defaultRowHeight="15" x14ac:dyDescent="0.25"/>
  <cols>
    <col min="1" max="1" width="3.7109375" customWidth="1"/>
    <col min="2" max="2" width="3.42578125" customWidth="1"/>
    <col min="3" max="3" width="4.28515625" hidden="1" customWidth="1"/>
    <col min="4" max="4" width="4" hidden="1" customWidth="1"/>
    <col min="5" max="5" width="13" customWidth="1"/>
    <col min="6" max="6" width="7.7109375" style="39" hidden="1" customWidth="1"/>
    <col min="7" max="7" width="16.42578125" customWidth="1"/>
    <col min="8" max="9" width="11.28515625" customWidth="1"/>
    <col min="10" max="10" width="16" customWidth="1"/>
    <col min="11" max="11" width="11" customWidth="1"/>
    <col min="12" max="12" width="12" customWidth="1"/>
    <col min="13" max="13" width="8.42578125" customWidth="1"/>
    <col min="14" max="14" width="18.140625" customWidth="1"/>
    <col min="15" max="15" width="3.5703125" hidden="1" customWidth="1"/>
    <col min="16" max="16" width="17.7109375" customWidth="1"/>
    <col min="17" max="17" width="16.42578125" customWidth="1"/>
    <col min="18" max="19" width="14.85546875" customWidth="1"/>
    <col min="20" max="20" width="13.85546875" customWidth="1"/>
    <col min="21" max="21" width="14.85546875" customWidth="1"/>
  </cols>
  <sheetData>
    <row r="1" spans="1:28" x14ac:dyDescent="0.25">
      <c r="A1" s="1"/>
      <c r="B1" s="1"/>
      <c r="C1" s="1"/>
      <c r="D1" s="1"/>
      <c r="E1" s="1"/>
      <c r="F1" s="3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ht="26.25" x14ac:dyDescent="0.4">
      <c r="A2" s="1"/>
      <c r="B2" s="1"/>
      <c r="C2" s="1"/>
      <c r="D2" s="1"/>
      <c r="E2" s="1"/>
      <c r="F2" s="35"/>
      <c r="G2" s="3" t="s">
        <v>56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 x14ac:dyDescent="0.25">
      <c r="A3" s="1"/>
      <c r="B3" s="1"/>
      <c r="C3" s="1"/>
      <c r="D3" s="1"/>
      <c r="E3" s="1"/>
      <c r="F3" s="35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28" x14ac:dyDescent="0.25">
      <c r="A4" s="1"/>
      <c r="B4" s="1"/>
      <c r="C4" s="1"/>
      <c r="D4" s="1"/>
      <c r="E4" s="1"/>
      <c r="F4" s="35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 x14ac:dyDescent="0.25">
      <c r="A5" s="1"/>
      <c r="B5" s="1"/>
      <c r="C5" s="1"/>
      <c r="D5" s="1"/>
      <c r="E5" s="1"/>
      <c r="F5" s="35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1:28" ht="15.75" thickBot="1" x14ac:dyDescent="0.3">
      <c r="A6" s="2"/>
      <c r="B6" s="2"/>
      <c r="C6" s="2"/>
      <c r="D6" s="2"/>
      <c r="E6" s="2"/>
      <c r="F6" s="36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</row>
    <row r="8" spans="1:28" ht="18.75" x14ac:dyDescent="0.25">
      <c r="D8" t="s">
        <v>29</v>
      </c>
      <c r="E8" s="30" t="s">
        <v>58</v>
      </c>
      <c r="F8" s="37"/>
      <c r="G8" s="257"/>
      <c r="H8" s="257"/>
      <c r="I8" s="257"/>
    </row>
    <row r="9" spans="1:28" ht="13.5" customHeight="1" x14ac:dyDescent="0.25">
      <c r="D9">
        <v>229</v>
      </c>
      <c r="E9" s="26"/>
      <c r="F9" s="38"/>
      <c r="H9" s="26"/>
      <c r="J9" s="26" t="s">
        <v>6</v>
      </c>
      <c r="K9" s="258"/>
      <c r="L9" s="258"/>
      <c r="P9" s="34" t="s">
        <v>59</v>
      </c>
      <c r="Q9" s="34" t="s">
        <v>60</v>
      </c>
      <c r="R9" s="34" t="s">
        <v>61</v>
      </c>
      <c r="T9" s="26"/>
      <c r="U9" s="62" t="s">
        <v>84</v>
      </c>
    </row>
    <row r="10" spans="1:28" x14ac:dyDescent="0.25">
      <c r="J10" s="26" t="s">
        <v>7</v>
      </c>
      <c r="K10" s="258"/>
      <c r="L10" s="258"/>
      <c r="N10" s="26" t="s">
        <v>62</v>
      </c>
      <c r="O10" s="26"/>
      <c r="P10" s="19"/>
      <c r="Q10" s="19"/>
      <c r="R10" s="19">
        <f>P10-Q10</f>
        <v>0</v>
      </c>
      <c r="T10" s="26" t="s">
        <v>89</v>
      </c>
      <c r="U10" s="19">
        <v>0</v>
      </c>
    </row>
    <row r="11" spans="1:28" ht="18.75" x14ac:dyDescent="0.25">
      <c r="E11" s="26" t="s">
        <v>73</v>
      </c>
      <c r="F11" s="38"/>
      <c r="G11" s="29">
        <v>2023</v>
      </c>
      <c r="J11" s="26" t="s">
        <v>74</v>
      </c>
      <c r="K11" s="259"/>
      <c r="L11" s="258"/>
      <c r="N11" s="26" t="s">
        <v>63</v>
      </c>
      <c r="O11" s="26"/>
      <c r="P11" s="19"/>
      <c r="Q11" s="19"/>
      <c r="R11" s="19">
        <f>P11-Q11</f>
        <v>0</v>
      </c>
      <c r="T11" s="26" t="s">
        <v>83</v>
      </c>
      <c r="U11" s="19">
        <v>0</v>
      </c>
    </row>
    <row r="12" spans="1:28" ht="18.75" x14ac:dyDescent="0.25">
      <c r="E12" s="26" t="s">
        <v>57</v>
      </c>
      <c r="F12" s="38"/>
      <c r="G12" s="29" t="s">
        <v>227</v>
      </c>
      <c r="J12" s="26" t="s">
        <v>75</v>
      </c>
      <c r="K12" s="259"/>
      <c r="L12" s="258"/>
      <c r="N12" s="26"/>
    </row>
    <row r="13" spans="1:28" ht="12" customHeight="1" x14ac:dyDescent="0.25">
      <c r="N13" s="52"/>
    </row>
    <row r="14" spans="1:28" ht="44.25" customHeight="1" x14ac:dyDescent="0.25"/>
    <row r="16" spans="1:28" ht="30" x14ac:dyDescent="0.25">
      <c r="C16" t="s">
        <v>64</v>
      </c>
      <c r="D16" t="s">
        <v>71</v>
      </c>
      <c r="E16" s="28" t="s">
        <v>25</v>
      </c>
      <c r="F16" s="40"/>
      <c r="G16" s="27" t="s">
        <v>65</v>
      </c>
      <c r="H16" s="27" t="s">
        <v>66</v>
      </c>
      <c r="I16" s="27" t="s">
        <v>67</v>
      </c>
      <c r="J16" s="27" t="s">
        <v>76</v>
      </c>
      <c r="K16" s="31" t="s">
        <v>68</v>
      </c>
      <c r="L16" s="27" t="s">
        <v>125</v>
      </c>
      <c r="M16" s="31" t="s">
        <v>72</v>
      </c>
      <c r="N16" s="27" t="s">
        <v>69</v>
      </c>
      <c r="O16" s="27"/>
      <c r="P16" s="27" t="s">
        <v>70</v>
      </c>
      <c r="Q16" s="27"/>
    </row>
    <row r="17" spans="3:17" x14ac:dyDescent="0.25">
      <c r="C17" s="5"/>
      <c r="D17" s="5"/>
      <c r="E17" s="6"/>
      <c r="F17" s="41"/>
      <c r="G17" s="5"/>
      <c r="H17" s="43"/>
      <c r="I17" s="43"/>
      <c r="J17" s="43"/>
      <c r="K17" s="43"/>
      <c r="L17" s="43"/>
      <c r="M17" s="19"/>
      <c r="N17" s="5"/>
      <c r="O17" s="5"/>
      <c r="P17" s="53"/>
      <c r="Q17" s="5"/>
    </row>
    <row r="18" spans="3:17" x14ac:dyDescent="0.25">
      <c r="C18" s="5"/>
      <c r="D18" s="5"/>
      <c r="E18" s="6"/>
      <c r="F18" s="41"/>
      <c r="G18" s="5"/>
      <c r="H18" s="43"/>
      <c r="I18" s="43"/>
      <c r="J18" s="43"/>
      <c r="K18" s="43"/>
      <c r="L18" s="43"/>
      <c r="M18" s="19"/>
      <c r="N18" s="5"/>
      <c r="O18" s="5"/>
      <c r="P18" s="53"/>
      <c r="Q18" s="5"/>
    </row>
    <row r="19" spans="3:17" x14ac:dyDescent="0.25">
      <c r="C19" s="5"/>
      <c r="D19" s="5"/>
      <c r="E19" s="6"/>
      <c r="F19" s="41"/>
      <c r="G19" s="5"/>
      <c r="H19" s="43"/>
      <c r="I19" s="43"/>
      <c r="J19" s="43"/>
      <c r="K19" s="43"/>
      <c r="L19" s="43"/>
      <c r="M19" s="19"/>
      <c r="N19" s="5"/>
      <c r="O19" s="5"/>
      <c r="P19" s="53"/>
      <c r="Q19" s="6"/>
    </row>
    <row r="20" spans="3:17" x14ac:dyDescent="0.25">
      <c r="C20" s="5"/>
      <c r="D20" s="5"/>
      <c r="E20" s="6"/>
      <c r="F20" s="41"/>
      <c r="G20" s="5"/>
      <c r="H20" s="43"/>
      <c r="I20" s="43"/>
      <c r="J20" s="43"/>
      <c r="K20" s="43"/>
      <c r="L20" s="43"/>
      <c r="M20" s="19"/>
      <c r="N20" s="5"/>
      <c r="O20" s="5"/>
      <c r="P20" s="53"/>
      <c r="Q20" s="5"/>
    </row>
    <row r="21" spans="3:17" x14ac:dyDescent="0.25">
      <c r="C21" s="5"/>
      <c r="D21" s="6"/>
      <c r="E21" s="6"/>
      <c r="F21" s="41"/>
      <c r="G21" s="5"/>
      <c r="H21" s="43"/>
      <c r="I21" s="43"/>
      <c r="J21" s="43"/>
      <c r="K21" s="43"/>
      <c r="L21" s="43"/>
      <c r="M21" s="19"/>
      <c r="N21" s="5"/>
      <c r="O21" s="5"/>
      <c r="P21" s="53"/>
      <c r="Q21" s="6"/>
    </row>
    <row r="22" spans="3:17" x14ac:dyDescent="0.25">
      <c r="C22" s="5"/>
      <c r="D22" s="6"/>
      <c r="E22" s="6"/>
      <c r="F22" s="41"/>
      <c r="G22" s="5"/>
      <c r="H22" s="43"/>
      <c r="I22" s="43"/>
      <c r="J22" s="43"/>
      <c r="K22" s="43"/>
      <c r="L22" s="43"/>
      <c r="M22" s="19"/>
      <c r="N22" s="5"/>
      <c r="O22" s="5"/>
      <c r="P22" s="53"/>
      <c r="Q22" s="5"/>
    </row>
    <row r="23" spans="3:17" x14ac:dyDescent="0.25">
      <c r="C23" s="5"/>
      <c r="D23" s="6"/>
      <c r="E23" s="6"/>
      <c r="F23" s="41"/>
      <c r="G23" s="5"/>
      <c r="H23" s="43"/>
      <c r="I23" s="43"/>
      <c r="J23" s="43"/>
      <c r="K23" s="43"/>
      <c r="L23" s="43"/>
      <c r="M23" s="19"/>
      <c r="N23" s="5"/>
      <c r="O23" s="5"/>
      <c r="P23" s="53"/>
      <c r="Q23" s="5"/>
    </row>
    <row r="24" spans="3:17" x14ac:dyDescent="0.25">
      <c r="C24" s="5"/>
      <c r="D24" s="6"/>
      <c r="E24" s="6"/>
      <c r="F24" s="41"/>
      <c r="G24" s="5"/>
      <c r="H24" s="43"/>
      <c r="I24" s="43"/>
      <c r="J24" s="43"/>
      <c r="K24" s="43"/>
      <c r="L24" s="43"/>
      <c r="M24" s="19"/>
      <c r="N24" s="5"/>
      <c r="O24" s="5"/>
      <c r="P24" s="53"/>
      <c r="Q24" s="5"/>
    </row>
    <row r="25" spans="3:17" x14ac:dyDescent="0.25">
      <c r="C25" s="5"/>
      <c r="D25" s="6"/>
      <c r="E25" s="6"/>
      <c r="F25" s="41"/>
      <c r="G25" s="5"/>
      <c r="H25" s="43"/>
      <c r="I25" s="43"/>
      <c r="J25" s="43"/>
      <c r="K25" s="43"/>
      <c r="L25" s="43"/>
      <c r="M25" s="19"/>
      <c r="N25" s="5"/>
      <c r="O25" s="5"/>
      <c r="P25" s="53"/>
      <c r="Q25" s="5"/>
    </row>
    <row r="26" spans="3:17" x14ac:dyDescent="0.25">
      <c r="C26" s="5"/>
      <c r="D26" s="6"/>
      <c r="E26" s="6"/>
      <c r="F26" s="41"/>
      <c r="G26" s="5"/>
      <c r="H26" s="43"/>
      <c r="I26" s="43"/>
      <c r="J26" s="43"/>
      <c r="K26" s="43"/>
      <c r="L26" s="43"/>
      <c r="M26" s="19"/>
      <c r="N26" s="5"/>
      <c r="O26" s="5"/>
      <c r="P26" s="53"/>
      <c r="Q26" s="5"/>
    </row>
    <row r="27" spans="3:17" x14ac:dyDescent="0.25">
      <c r="C27" s="5"/>
      <c r="D27" s="6"/>
      <c r="E27" s="6"/>
      <c r="F27" s="41"/>
      <c r="G27" s="5"/>
      <c r="H27" s="43"/>
      <c r="I27" s="43"/>
      <c r="J27" s="43"/>
      <c r="K27" s="43"/>
      <c r="L27" s="43"/>
      <c r="M27" s="19"/>
      <c r="N27" s="5"/>
      <c r="O27" s="5"/>
      <c r="P27" s="53"/>
      <c r="Q27" s="5"/>
    </row>
    <row r="28" spans="3:17" x14ac:dyDescent="0.25">
      <c r="C28" s="5"/>
      <c r="D28" s="6"/>
      <c r="E28" s="6"/>
      <c r="F28" s="41"/>
      <c r="G28" s="5"/>
      <c r="H28" s="43"/>
      <c r="I28" s="43"/>
      <c r="J28" s="43"/>
      <c r="K28" s="43"/>
      <c r="L28" s="43"/>
      <c r="M28" s="19"/>
      <c r="N28" s="5"/>
      <c r="O28" s="5"/>
      <c r="P28" s="53"/>
      <c r="Q28" s="5"/>
    </row>
    <row r="29" spans="3:17" x14ac:dyDescent="0.25">
      <c r="C29" s="5"/>
      <c r="D29" s="6"/>
      <c r="E29" s="6"/>
      <c r="F29" s="41"/>
      <c r="G29" s="5"/>
      <c r="H29" s="43"/>
      <c r="I29" s="43"/>
      <c r="J29" s="43"/>
      <c r="K29" s="43"/>
      <c r="L29" s="43"/>
      <c r="M29" s="19"/>
      <c r="N29" s="5"/>
      <c r="O29" s="5"/>
      <c r="P29" s="53"/>
      <c r="Q29" s="6"/>
    </row>
    <row r="30" spans="3:17" x14ac:dyDescent="0.25">
      <c r="C30" s="5"/>
      <c r="D30" s="6"/>
      <c r="E30" s="6"/>
      <c r="F30" s="41"/>
      <c r="G30" s="5"/>
      <c r="H30" s="43"/>
      <c r="I30" s="43"/>
      <c r="J30" s="43"/>
      <c r="K30" s="43"/>
      <c r="L30" s="43"/>
      <c r="M30" s="19"/>
      <c r="N30" s="5"/>
      <c r="O30" s="5"/>
      <c r="P30" s="53"/>
      <c r="Q30" s="5"/>
    </row>
    <row r="31" spans="3:17" x14ac:dyDescent="0.25">
      <c r="C31" s="5"/>
      <c r="D31" s="6"/>
      <c r="E31" s="6"/>
      <c r="F31" s="41"/>
      <c r="G31" s="5"/>
      <c r="H31" s="43"/>
      <c r="I31" s="43"/>
      <c r="J31" s="43"/>
      <c r="K31" s="43"/>
      <c r="L31" s="43"/>
      <c r="M31" s="19"/>
      <c r="N31" s="5"/>
      <c r="O31" s="5"/>
      <c r="P31" s="53"/>
      <c r="Q31" s="5"/>
    </row>
    <row r="32" spans="3:17" x14ac:dyDescent="0.25">
      <c r="C32" s="5"/>
      <c r="D32" s="6"/>
      <c r="E32" s="6"/>
      <c r="F32" s="41"/>
      <c r="G32" s="5"/>
      <c r="H32" s="43"/>
      <c r="I32" s="43"/>
      <c r="J32" s="43"/>
      <c r="K32" s="43"/>
      <c r="L32" s="43"/>
      <c r="M32" s="19"/>
      <c r="N32" s="5"/>
      <c r="O32" s="5"/>
      <c r="P32" s="53"/>
      <c r="Q32" s="5"/>
    </row>
    <row r="33" spans="3:17" x14ac:dyDescent="0.25">
      <c r="C33" s="5"/>
      <c r="D33" s="6"/>
      <c r="E33" s="6"/>
      <c r="F33" s="41"/>
      <c r="G33" s="5"/>
      <c r="H33" s="43"/>
      <c r="I33" s="43"/>
      <c r="J33" s="43"/>
      <c r="K33" s="43"/>
      <c r="L33" s="43"/>
      <c r="M33" s="19"/>
      <c r="N33" s="5"/>
      <c r="O33" s="5"/>
      <c r="P33" s="53"/>
      <c r="Q33" s="5"/>
    </row>
    <row r="34" spans="3:17" x14ac:dyDescent="0.25">
      <c r="C34" s="5"/>
      <c r="D34" s="5"/>
      <c r="E34" s="6"/>
      <c r="F34" s="41"/>
      <c r="G34" s="5"/>
      <c r="H34" s="43"/>
      <c r="I34" s="43"/>
      <c r="J34" s="43"/>
      <c r="K34" s="43"/>
      <c r="L34" s="43"/>
      <c r="M34" s="19"/>
      <c r="N34" s="5"/>
      <c r="O34" s="5"/>
      <c r="P34" s="53"/>
      <c r="Q34" s="5"/>
    </row>
    <row r="35" spans="3:17" x14ac:dyDescent="0.25">
      <c r="C35" s="5"/>
      <c r="D35" s="5"/>
      <c r="E35" s="6"/>
      <c r="F35" s="41"/>
      <c r="G35" s="5"/>
      <c r="H35" s="43"/>
      <c r="I35" s="43"/>
      <c r="J35" s="43"/>
      <c r="K35" s="43"/>
      <c r="L35" s="43"/>
      <c r="M35" s="19"/>
      <c r="N35" s="5"/>
      <c r="O35" s="5"/>
      <c r="P35" s="53"/>
      <c r="Q35" s="6"/>
    </row>
    <row r="36" spans="3:17" x14ac:dyDescent="0.25">
      <c r="C36" s="5"/>
      <c r="D36" s="5"/>
      <c r="E36" s="6"/>
      <c r="F36" s="41"/>
      <c r="G36" s="5"/>
      <c r="H36" s="43"/>
      <c r="I36" s="43"/>
      <c r="J36" s="43"/>
      <c r="K36" s="43"/>
      <c r="L36" s="43"/>
      <c r="M36" s="19"/>
      <c r="N36" s="5"/>
      <c r="O36" s="5"/>
      <c r="P36" s="53"/>
      <c r="Q36" s="6"/>
    </row>
    <row r="37" spans="3:17" x14ac:dyDescent="0.25">
      <c r="C37" s="5"/>
      <c r="D37" s="5"/>
      <c r="E37" s="6"/>
      <c r="F37" s="41"/>
      <c r="G37" s="5"/>
      <c r="H37" s="43"/>
      <c r="I37" s="43"/>
      <c r="J37" s="43"/>
      <c r="K37" s="43"/>
      <c r="L37" s="43"/>
      <c r="M37" s="19"/>
      <c r="N37" s="5"/>
      <c r="O37" s="5"/>
      <c r="P37" s="53"/>
      <c r="Q37" s="5"/>
    </row>
    <row r="38" spans="3:17" x14ac:dyDescent="0.25">
      <c r="C38" s="5"/>
      <c r="D38" s="5"/>
      <c r="E38" s="6"/>
      <c r="F38" s="41"/>
      <c r="G38" s="5"/>
      <c r="H38" s="43"/>
      <c r="I38" s="43"/>
      <c r="J38" s="43"/>
      <c r="K38" s="43"/>
      <c r="L38" s="43"/>
      <c r="M38" s="19"/>
      <c r="N38" s="5"/>
      <c r="O38" s="5"/>
      <c r="P38" s="53"/>
      <c r="Q38" s="5"/>
    </row>
    <row r="39" spans="3:17" x14ac:dyDescent="0.25">
      <c r="C39" s="5"/>
      <c r="D39" s="5"/>
      <c r="E39" s="6"/>
      <c r="F39" s="41"/>
      <c r="G39" s="5"/>
      <c r="H39" s="43"/>
      <c r="I39" s="43"/>
      <c r="J39" s="43"/>
      <c r="K39" s="43"/>
      <c r="L39" s="43"/>
      <c r="M39" s="19"/>
      <c r="N39" s="5"/>
      <c r="O39" s="5"/>
      <c r="P39" s="53"/>
      <c r="Q39" s="6"/>
    </row>
    <row r="40" spans="3:17" x14ac:dyDescent="0.25">
      <c r="C40" s="5"/>
      <c r="D40" s="5"/>
      <c r="E40" s="6"/>
      <c r="F40" s="41"/>
      <c r="G40" s="5"/>
      <c r="H40" s="43"/>
      <c r="I40" s="43"/>
      <c r="J40" s="43"/>
      <c r="K40" s="43"/>
      <c r="L40" s="43"/>
      <c r="M40" s="19"/>
      <c r="N40" s="5"/>
      <c r="O40" s="5"/>
      <c r="P40" s="53"/>
      <c r="Q40" s="5"/>
    </row>
    <row r="41" spans="3:17" x14ac:dyDescent="0.25">
      <c r="C41" s="5"/>
      <c r="D41" s="5"/>
      <c r="E41" s="6"/>
      <c r="F41" s="41"/>
      <c r="G41" s="5"/>
      <c r="H41" s="43"/>
      <c r="I41" s="43"/>
      <c r="J41" s="43"/>
      <c r="K41" s="43"/>
      <c r="L41" s="43"/>
      <c r="M41" s="19"/>
      <c r="N41" s="5"/>
      <c r="O41" s="5"/>
      <c r="P41" s="53"/>
      <c r="Q41" s="5"/>
    </row>
    <row r="42" spans="3:17" x14ac:dyDescent="0.25">
      <c r="C42" s="5"/>
      <c r="D42" s="5"/>
      <c r="E42" s="6"/>
      <c r="F42" s="41"/>
      <c r="G42" s="5"/>
      <c r="H42" s="43"/>
      <c r="I42" s="43"/>
      <c r="J42" s="43"/>
      <c r="K42" s="43"/>
      <c r="L42" s="43"/>
      <c r="M42" s="19"/>
      <c r="N42" s="5"/>
      <c r="O42" s="5"/>
      <c r="P42" s="53"/>
      <c r="Q42" s="5"/>
    </row>
    <row r="43" spans="3:17" x14ac:dyDescent="0.25">
      <c r="C43" s="33"/>
      <c r="D43" s="33"/>
      <c r="E43" s="32"/>
      <c r="F43" s="42"/>
      <c r="G43" s="33"/>
      <c r="H43" s="44"/>
      <c r="I43" s="44"/>
      <c r="J43" s="44"/>
      <c r="K43" s="44"/>
      <c r="L43" s="44"/>
      <c r="M43" s="45"/>
      <c r="N43" s="33"/>
      <c r="O43" s="33"/>
      <c r="P43" s="54"/>
      <c r="Q43" s="33"/>
    </row>
    <row r="44" spans="3:17" x14ac:dyDescent="0.25">
      <c r="E44" s="7"/>
      <c r="H44" s="46"/>
      <c r="I44" s="46"/>
      <c r="J44" s="46"/>
      <c r="K44" s="46"/>
      <c r="L44" s="46"/>
      <c r="M44" s="47"/>
      <c r="P44" s="55"/>
    </row>
    <row r="45" spans="3:17" x14ac:dyDescent="0.25">
      <c r="E45" s="7"/>
      <c r="H45" s="46"/>
      <c r="I45" s="46"/>
      <c r="J45" s="46"/>
      <c r="K45" s="46"/>
      <c r="L45" s="46"/>
      <c r="M45" s="47"/>
      <c r="P45" s="55"/>
    </row>
    <row r="46" spans="3:17" x14ac:dyDescent="0.25">
      <c r="E46" s="7"/>
      <c r="H46" s="46"/>
      <c r="I46" s="46"/>
      <c r="J46" s="46"/>
      <c r="K46" s="46"/>
      <c r="L46" s="46"/>
      <c r="M46" s="47"/>
      <c r="P46" s="55"/>
      <c r="Q46" s="7"/>
    </row>
    <row r="47" spans="3:17" x14ac:dyDescent="0.25">
      <c r="E47" s="7"/>
      <c r="H47" s="46"/>
      <c r="I47" s="46"/>
      <c r="J47" s="46"/>
      <c r="K47" s="46"/>
      <c r="L47" s="46"/>
      <c r="M47" s="47"/>
      <c r="P47" s="55"/>
    </row>
    <row r="48" spans="3:17" x14ac:dyDescent="0.25">
      <c r="E48" s="7"/>
      <c r="H48" s="46"/>
      <c r="I48" s="46"/>
      <c r="J48" s="46"/>
      <c r="K48" s="46"/>
      <c r="L48" s="46"/>
      <c r="M48" s="47"/>
      <c r="P48" s="55"/>
    </row>
    <row r="49" spans="5:16" x14ac:dyDescent="0.25">
      <c r="H49" s="46"/>
      <c r="I49" s="46"/>
      <c r="J49" s="46"/>
      <c r="K49" s="67"/>
      <c r="L49" s="67"/>
      <c r="M49" s="47"/>
      <c r="P49" s="55"/>
    </row>
    <row r="50" spans="5:16" x14ac:dyDescent="0.25">
      <c r="H50" s="57"/>
      <c r="I50" s="57"/>
      <c r="J50" s="57"/>
      <c r="K50" s="67"/>
      <c r="L50" s="67"/>
      <c r="M50" s="47"/>
      <c r="P50" s="55"/>
    </row>
    <row r="51" spans="5:16" ht="21" x14ac:dyDescent="0.35">
      <c r="E51" s="48" t="s">
        <v>78</v>
      </c>
      <c r="H51" s="63"/>
      <c r="I51" s="57"/>
      <c r="J51" s="57"/>
      <c r="K51" s="67"/>
      <c r="L51" s="67"/>
      <c r="M51" s="47"/>
      <c r="P51" s="56"/>
    </row>
    <row r="52" spans="5:16" x14ac:dyDescent="0.25">
      <c r="E52" s="64" t="s">
        <v>86</v>
      </c>
      <c r="H52" s="63"/>
      <c r="I52" s="57"/>
      <c r="J52" s="57"/>
      <c r="K52" s="67"/>
      <c r="L52" s="67"/>
      <c r="M52" s="47"/>
      <c r="P52" s="56"/>
    </row>
    <row r="53" spans="5:16" x14ac:dyDescent="0.25">
      <c r="E53" s="64" t="s">
        <v>87</v>
      </c>
      <c r="H53" s="63"/>
      <c r="I53" s="57"/>
      <c r="J53" s="57"/>
      <c r="K53" s="67"/>
      <c r="L53" s="67"/>
      <c r="M53" s="47"/>
      <c r="P53" s="56"/>
    </row>
    <row r="54" spans="5:16" x14ac:dyDescent="0.25">
      <c r="K54" s="67"/>
      <c r="L54" s="67"/>
      <c r="M54" s="47"/>
    </row>
    <row r="55" spans="5:16" ht="30" customHeight="1" x14ac:dyDescent="0.25">
      <c r="E55" s="256" t="s">
        <v>80</v>
      </c>
      <c r="F55" s="60"/>
      <c r="G55" s="256" t="s">
        <v>81</v>
      </c>
      <c r="H55" s="256" t="s">
        <v>82</v>
      </c>
      <c r="I55" s="256"/>
      <c r="K55" s="67"/>
      <c r="L55" s="67"/>
      <c r="M55" s="47"/>
    </row>
    <row r="56" spans="5:16" x14ac:dyDescent="0.25">
      <c r="E56" s="256"/>
      <c r="F56" s="61"/>
      <c r="G56" s="256"/>
      <c r="H56" s="62">
        <v>50</v>
      </c>
      <c r="I56" s="62">
        <v>100</v>
      </c>
      <c r="K56" s="67"/>
      <c r="L56" s="67"/>
      <c r="M56" s="47"/>
    </row>
    <row r="57" spans="5:16" x14ac:dyDescent="0.25">
      <c r="E57" s="59">
        <f>SUMIFS($J$17:$J$47,$N$17:$N$47,"praca-etat",P17:P47,"")</f>
        <v>0</v>
      </c>
      <c r="F57" s="41"/>
      <c r="G57" s="59">
        <f>SUMIFS($K$17:$K$47,$N$17:$N$47,"praca-etat",P17:P47,"")</f>
        <v>0</v>
      </c>
      <c r="H57" s="59">
        <f>SUMIFS($L$17:$L$47,$N$17:$N$47,"praca-etat",P17:P47,"",M17:M47,50)+SUMIFS($L$17:$L$47,$N$17:$N$47,"nadgodziny",P17:P47,"",M17:M47,50)</f>
        <v>0</v>
      </c>
      <c r="I57" s="59">
        <f>SUMIFS($L$17:$L$47,$N$17:$N$47,"praca-etat",P17:P47,"",M17:M47,100)+SUMIFS($L$17:$L$47,$N$17:$N$47,"nadgodziny",P17:P47,"",M17:M47,100)</f>
        <v>0</v>
      </c>
      <c r="K57" s="67"/>
      <c r="L57" s="67"/>
      <c r="M57" s="47"/>
    </row>
    <row r="58" spans="5:16" x14ac:dyDescent="0.25">
      <c r="E58" s="58"/>
      <c r="K58" s="67"/>
      <c r="L58" s="67"/>
      <c r="M58" s="47"/>
    </row>
    <row r="59" spans="5:16" x14ac:dyDescent="0.25">
      <c r="H59" s="58"/>
      <c r="K59" s="67"/>
      <c r="L59" s="67"/>
      <c r="M59" s="47"/>
    </row>
    <row r="60" spans="5:16" x14ac:dyDescent="0.25">
      <c r="G60" s="58"/>
      <c r="K60" s="67"/>
      <c r="L60" s="67"/>
      <c r="M60" s="47"/>
    </row>
    <row r="61" spans="5:16" x14ac:dyDescent="0.25">
      <c r="G61" s="58"/>
      <c r="K61" s="7"/>
      <c r="L61" s="7"/>
    </row>
    <row r="62" spans="5:16" ht="30" x14ac:dyDescent="0.25">
      <c r="E62" s="65" t="s">
        <v>85</v>
      </c>
      <c r="F62" s="60"/>
      <c r="G62" s="66" t="s">
        <v>177</v>
      </c>
      <c r="H62" s="66" t="s">
        <v>88</v>
      </c>
      <c r="I62" t="s">
        <v>178</v>
      </c>
      <c r="K62" s="7"/>
      <c r="L62" s="7"/>
    </row>
    <row r="63" spans="5:16" x14ac:dyDescent="0.25">
      <c r="E63" s="6" t="s">
        <v>33</v>
      </c>
      <c r="F63" s="41"/>
      <c r="G63" s="19">
        <f>COUNTIFS($P$17:$P$47,E63)</f>
        <v>0</v>
      </c>
      <c r="H63" s="19">
        <f>COUNTIFS($P$17:$P$47,E63,$C$17:$C$47,"&gt;="&amp;1,$C$17:$C$47,"&lt;="&amp;5,D17:D47,"")</f>
        <v>0</v>
      </c>
      <c r="K63" s="7"/>
      <c r="L63" s="7"/>
    </row>
    <row r="64" spans="5:16" x14ac:dyDescent="0.25">
      <c r="E64" s="6" t="s">
        <v>34</v>
      </c>
      <c r="F64" s="41"/>
      <c r="G64" s="19">
        <f t="shared" ref="G64:G79" si="0">COUNTIFS($P$17:$P$47,E64)</f>
        <v>0</v>
      </c>
      <c r="H64" s="19">
        <f t="shared" ref="H64:H79" si="1">COUNTIFS($P$17:$P$47,E64,$C$17:$C$47,"&gt;="&amp;1,$C$17:$C$47,"&lt;="&amp;5,D18:D48,"")</f>
        <v>0</v>
      </c>
      <c r="K64" s="7"/>
      <c r="L64" s="7"/>
    </row>
    <row r="65" spans="5:8" x14ac:dyDescent="0.25">
      <c r="E65" s="6" t="s">
        <v>35</v>
      </c>
      <c r="F65" s="41"/>
      <c r="G65" s="19">
        <f t="shared" si="0"/>
        <v>0</v>
      </c>
      <c r="H65" s="19">
        <f t="shared" si="1"/>
        <v>0</v>
      </c>
    </row>
    <row r="66" spans="5:8" x14ac:dyDescent="0.25">
      <c r="E66" s="6" t="s">
        <v>36</v>
      </c>
      <c r="F66" s="41"/>
      <c r="G66" s="19">
        <f t="shared" si="0"/>
        <v>0</v>
      </c>
      <c r="H66" s="19">
        <f t="shared" si="1"/>
        <v>0</v>
      </c>
    </row>
    <row r="67" spans="5:8" x14ac:dyDescent="0.25">
      <c r="E67" s="6" t="s">
        <v>37</v>
      </c>
      <c r="F67" s="41"/>
      <c r="G67" s="19">
        <f t="shared" si="0"/>
        <v>0</v>
      </c>
      <c r="H67" s="19">
        <f t="shared" si="1"/>
        <v>0</v>
      </c>
    </row>
    <row r="68" spans="5:8" x14ac:dyDescent="0.25">
      <c r="E68" s="6" t="s">
        <v>38</v>
      </c>
      <c r="F68" s="41"/>
      <c r="G68" s="19">
        <f t="shared" si="0"/>
        <v>0</v>
      </c>
      <c r="H68" s="19">
        <f t="shared" si="1"/>
        <v>0</v>
      </c>
    </row>
    <row r="69" spans="5:8" x14ac:dyDescent="0.25">
      <c r="E69" s="6" t="s">
        <v>79</v>
      </c>
      <c r="F69" s="41"/>
      <c r="G69" s="19">
        <f t="shared" si="0"/>
        <v>0</v>
      </c>
      <c r="H69" s="19">
        <f t="shared" si="1"/>
        <v>0</v>
      </c>
    </row>
    <row r="70" spans="5:8" x14ac:dyDescent="0.25">
      <c r="E70" s="6" t="s">
        <v>39</v>
      </c>
      <c r="F70" s="41"/>
      <c r="G70" s="19">
        <f t="shared" si="0"/>
        <v>0</v>
      </c>
      <c r="H70" s="19">
        <f t="shared" si="1"/>
        <v>0</v>
      </c>
    </row>
    <row r="71" spans="5:8" x14ac:dyDescent="0.25">
      <c r="E71" s="6" t="s">
        <v>40</v>
      </c>
      <c r="F71" s="41"/>
      <c r="G71" s="19">
        <f t="shared" si="0"/>
        <v>0</v>
      </c>
      <c r="H71" s="19">
        <f t="shared" si="1"/>
        <v>0</v>
      </c>
    </row>
    <row r="72" spans="5:8" x14ac:dyDescent="0.25">
      <c r="E72" s="6" t="s">
        <v>41</v>
      </c>
      <c r="F72" s="41"/>
      <c r="G72" s="19">
        <f t="shared" si="0"/>
        <v>0</v>
      </c>
      <c r="H72" s="19">
        <f t="shared" si="1"/>
        <v>0</v>
      </c>
    </row>
    <row r="73" spans="5:8" x14ac:dyDescent="0.25">
      <c r="E73" s="6" t="s">
        <v>42</v>
      </c>
      <c r="F73" s="41"/>
      <c r="G73" s="19">
        <f t="shared" si="0"/>
        <v>0</v>
      </c>
      <c r="H73" s="19">
        <f t="shared" si="1"/>
        <v>0</v>
      </c>
    </row>
    <row r="74" spans="5:8" x14ac:dyDescent="0.25">
      <c r="E74" s="6" t="s">
        <v>43</v>
      </c>
      <c r="F74" s="41"/>
      <c r="G74" s="19">
        <f t="shared" si="0"/>
        <v>0</v>
      </c>
      <c r="H74" s="19">
        <f t="shared" si="1"/>
        <v>0</v>
      </c>
    </row>
    <row r="75" spans="5:8" x14ac:dyDescent="0.25">
      <c r="E75" s="6" t="s">
        <v>44</v>
      </c>
      <c r="F75" s="41"/>
      <c r="G75" s="19">
        <f t="shared" si="0"/>
        <v>0</v>
      </c>
      <c r="H75" s="19">
        <f t="shared" si="1"/>
        <v>0</v>
      </c>
    </row>
    <row r="76" spans="5:8" x14ac:dyDescent="0.25">
      <c r="E76" s="6" t="s">
        <v>45</v>
      </c>
      <c r="F76" s="41"/>
      <c r="G76" s="19">
        <f t="shared" si="0"/>
        <v>0</v>
      </c>
      <c r="H76" s="19">
        <f t="shared" si="1"/>
        <v>0</v>
      </c>
    </row>
    <row r="77" spans="5:8" x14ac:dyDescent="0.25">
      <c r="E77" s="6" t="s">
        <v>46</v>
      </c>
      <c r="F77" s="41"/>
      <c r="G77" s="19">
        <f t="shared" si="0"/>
        <v>0</v>
      </c>
      <c r="H77" s="19">
        <f t="shared" si="1"/>
        <v>0</v>
      </c>
    </row>
    <row r="78" spans="5:8" x14ac:dyDescent="0.25">
      <c r="E78" s="6" t="s">
        <v>47</v>
      </c>
      <c r="F78" s="41"/>
      <c r="G78" s="19">
        <f t="shared" si="0"/>
        <v>0</v>
      </c>
      <c r="H78" s="19">
        <f t="shared" si="1"/>
        <v>0</v>
      </c>
    </row>
    <row r="79" spans="5:8" x14ac:dyDescent="0.25">
      <c r="E79" s="6" t="s">
        <v>48</v>
      </c>
      <c r="F79" s="41"/>
      <c r="G79" s="19">
        <f t="shared" si="0"/>
        <v>0</v>
      </c>
      <c r="H79" s="19">
        <f t="shared" si="1"/>
        <v>0</v>
      </c>
    </row>
    <row r="80" spans="5:8" x14ac:dyDescent="0.25">
      <c r="E80" s="6"/>
      <c r="F80" s="41"/>
      <c r="G80" s="19"/>
      <c r="H80" s="19"/>
    </row>
  </sheetData>
  <sheetProtection sheet="1" objects="1" scenarios="1"/>
  <mergeCells count="8">
    <mergeCell ref="H55:I55"/>
    <mergeCell ref="E55:E56"/>
    <mergeCell ref="G55:G56"/>
    <mergeCell ref="G8:I8"/>
    <mergeCell ref="K9:L9"/>
    <mergeCell ref="K10:L10"/>
    <mergeCell ref="K11:L11"/>
    <mergeCell ref="K12:L12"/>
  </mergeCells>
  <conditionalFormatting sqref="E17:Q47">
    <cfRule type="expression" dxfId="77" priority="2">
      <formula>$E17&lt;&gt;""</formula>
    </cfRule>
    <cfRule type="expression" dxfId="76" priority="3">
      <formula>AND(OR($E17&lt;$K$11,AND($E17&gt;$K$12,$K$12&lt;&gt;"")),$E17&lt;&gt;"")</formula>
    </cfRule>
    <cfRule type="expression" dxfId="75" priority="4">
      <formula>$D17="ŚW"</formula>
    </cfRule>
    <cfRule type="expression" dxfId="74" priority="5">
      <formula>$C17=6</formula>
    </cfRule>
    <cfRule type="expression" dxfId="73" priority="6">
      <formula>$C17=7</formula>
    </cfRule>
  </conditionalFormatting>
  <conditionalFormatting sqref="E17:Q48">
    <cfRule type="expression" dxfId="72" priority="1">
      <formula>AND(activeRow_monthRecord=ROW(A17),$E17&lt;&gt;"")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9225" r:id="rId4" name="cBx_dontShowWorkTimeWhenAbsence">
          <controlPr defaultSize="0" autoLine="0" r:id="rId5">
            <anchor moveWithCells="1">
              <from>
                <xdr:col>17</xdr:col>
                <xdr:colOff>180975</xdr:colOff>
                <xdr:row>15</xdr:row>
                <xdr:rowOff>19050</xdr:rowOff>
              </from>
              <to>
                <xdr:col>19</xdr:col>
                <xdr:colOff>238125</xdr:colOff>
                <xdr:row>16</xdr:row>
                <xdr:rowOff>66675</xdr:rowOff>
              </to>
            </anchor>
          </controlPr>
        </control>
      </mc:Choice>
      <mc:Fallback>
        <control shapeId="9225" r:id="rId4" name="cBx_dontShowWorkTimeWhenAbsence"/>
      </mc:Fallback>
    </mc:AlternateContent>
    <mc:AlternateContent xmlns:mc="http://schemas.openxmlformats.org/markup-compatibility/2006">
      <mc:Choice Requires="x14">
        <control shapeId="9219" r:id="rId6" name="Button 3">
          <controlPr defaultSize="0" print="0" autoFill="0" autoPict="0" macro="[0]!OpenForm_monthRecord_pickYearAndMonth">
            <anchor moveWithCells="1" sizeWithCells="1">
              <from>
                <xdr:col>7</xdr:col>
                <xdr:colOff>57150</xdr:colOff>
                <xdr:row>9</xdr:row>
                <xdr:rowOff>190500</xdr:rowOff>
              </from>
              <to>
                <xdr:col>7</xdr:col>
                <xdr:colOff>685800</xdr:colOff>
                <xdr:row>11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0" r:id="rId7" name="Button 4">
          <controlPr defaultSize="0" print="0" autoFill="0" autoPict="0" macro="[0]!OpenForm_monthRecord_Add">
            <anchor moveWithCells="1">
              <from>
                <xdr:col>5</xdr:col>
                <xdr:colOff>28575</xdr:colOff>
                <xdr:row>13</xdr:row>
                <xdr:rowOff>228600</xdr:rowOff>
              </from>
              <to>
                <xdr:col>6</xdr:col>
                <xdr:colOff>1085850</xdr:colOff>
                <xdr:row>14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1" r:id="rId8" name="Button 5">
          <controlPr defaultSize="0" print="0" autoFill="0" autoPict="0" macro="[0]!OpenForm_monthRecord_additionalWork">
            <anchor moveWithCells="1">
              <from>
                <xdr:col>7</xdr:col>
                <xdr:colOff>228600</xdr:colOff>
                <xdr:row>13</xdr:row>
                <xdr:rowOff>257175</xdr:rowOff>
              </from>
              <to>
                <xdr:col>8</xdr:col>
                <xdr:colOff>428625</xdr:colOff>
                <xdr:row>14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2" r:id="rId9" name="Button 6">
          <controlPr defaultSize="0" print="0" autoFill="0" autoPict="0" macro="[0]!delete_AdditionalWork">
            <anchor moveWithCells="1">
              <from>
                <xdr:col>8</xdr:col>
                <xdr:colOff>600075</xdr:colOff>
                <xdr:row>13</xdr:row>
                <xdr:rowOff>266700</xdr:rowOff>
              </from>
              <to>
                <xdr:col>9</xdr:col>
                <xdr:colOff>800100</xdr:colOff>
                <xdr:row>14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3" r:id="rId10" name="Button 7">
          <controlPr defaultSize="0" print="0" autoFill="0" autoPict="0" macro="[0]!OpenForm_monthRecord_absence">
            <anchor moveWithCells="1">
              <from>
                <xdr:col>15</xdr:col>
                <xdr:colOff>85725</xdr:colOff>
                <xdr:row>13</xdr:row>
                <xdr:rowOff>276225</xdr:rowOff>
              </from>
              <to>
                <xdr:col>15</xdr:col>
                <xdr:colOff>942975</xdr:colOff>
                <xdr:row>14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4" r:id="rId11" name="Button 8">
          <controlPr defaultSize="0" print="0" autoFill="0" autoPict="0" macro="[0]!OpenForm_monthRecord_AbsenceView">
            <anchor moveWithCells="1">
              <from>
                <xdr:col>15</xdr:col>
                <xdr:colOff>1114425</xdr:colOff>
                <xdr:row>13</xdr:row>
                <xdr:rowOff>285750</xdr:rowOff>
              </from>
              <to>
                <xdr:col>16</xdr:col>
                <xdr:colOff>828675</xdr:colOff>
                <xdr:row>14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8" r:id="rId12" name="Button 2">
          <controlPr defaultSize="0" print="0" autoFill="0" autoPict="0" macro="[0]!OpenForm_monthRecord_pickWorker">
            <anchor moveWithCells="1" sizeWithCells="1">
              <from>
                <xdr:col>8</xdr:col>
                <xdr:colOff>161925</xdr:colOff>
                <xdr:row>8</xdr:row>
                <xdr:rowOff>28575</xdr:rowOff>
              </from>
              <to>
                <xdr:col>9</xdr:col>
                <xdr:colOff>9525</xdr:colOff>
                <xdr:row>9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6" r:id="rId13" name="Button 10">
          <controlPr defaultSize="0" print="0" autoFill="0" autoPict="0" macro="[0]!Open_MonthRecord_doc">
            <anchor moveWithCells="1">
              <from>
                <xdr:col>10</xdr:col>
                <xdr:colOff>561975</xdr:colOff>
                <xdr:row>12</xdr:row>
                <xdr:rowOff>66675</xdr:rowOff>
              </from>
              <to>
                <xdr:col>12</xdr:col>
                <xdr:colOff>0</xdr:colOff>
                <xdr:row>13</xdr:row>
                <xdr:rowOff>228600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3F22C-F9A4-44DB-9EAB-760D9AB47B8F}">
  <sheetPr codeName="Arkusz15">
    <tabColor rgb="FF2F74FF"/>
    <pageSetUpPr fitToPage="1"/>
  </sheetPr>
  <dimension ref="A1:AA848"/>
  <sheetViews>
    <sheetView showGridLines="0" zoomScale="85" zoomScaleNormal="85" workbookViewId="0">
      <selection activeCell="P14" sqref="P14"/>
    </sheetView>
  </sheetViews>
  <sheetFormatPr defaultRowHeight="15" x14ac:dyDescent="0.25"/>
  <cols>
    <col min="3" max="3" width="9.140625" hidden="1" customWidth="1"/>
    <col min="4" max="4" width="67.7109375" style="23" customWidth="1"/>
    <col min="5" max="5" width="21.5703125" style="23" customWidth="1"/>
    <col min="6" max="6" width="13.85546875" style="47" customWidth="1"/>
    <col min="7" max="7" width="11.7109375" style="47" customWidth="1"/>
    <col min="8" max="9" width="9.140625" style="47"/>
    <col min="10" max="22" width="6.42578125" style="47" customWidth="1"/>
    <col min="23" max="23" width="6.7109375" style="47" customWidth="1"/>
    <col min="24" max="26" width="6.42578125" style="47" customWidth="1"/>
    <col min="27" max="27" width="6.42578125" customWidth="1"/>
  </cols>
  <sheetData>
    <row r="1" spans="1:27" x14ac:dyDescent="0.25">
      <c r="A1" s="1"/>
      <c r="B1" s="1"/>
      <c r="C1" s="1"/>
      <c r="D1" s="49"/>
      <c r="E1" s="49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49"/>
    </row>
    <row r="2" spans="1:27" ht="26.25" x14ac:dyDescent="0.25">
      <c r="A2" s="1"/>
      <c r="B2" s="1"/>
      <c r="C2" s="1"/>
      <c r="D2" s="102" t="s">
        <v>120</v>
      </c>
      <c r="E2" s="49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49"/>
    </row>
    <row r="3" spans="1:27" x14ac:dyDescent="0.25">
      <c r="A3" s="1"/>
      <c r="B3" s="1"/>
      <c r="C3" s="1"/>
      <c r="E3" s="49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49"/>
    </row>
    <row r="4" spans="1:27" x14ac:dyDescent="0.25">
      <c r="A4" s="1"/>
      <c r="B4" s="1"/>
      <c r="C4" s="1"/>
      <c r="D4" s="49"/>
      <c r="E4" s="49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49"/>
    </row>
    <row r="5" spans="1:27" x14ac:dyDescent="0.25">
      <c r="A5" s="1"/>
      <c r="B5" s="1"/>
      <c r="C5" s="1"/>
      <c r="D5" s="49"/>
      <c r="E5" s="49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49"/>
    </row>
    <row r="6" spans="1:27" ht="15.75" thickBot="1" x14ac:dyDescent="0.3">
      <c r="A6" s="2"/>
      <c r="B6" s="2"/>
      <c r="C6" s="2"/>
      <c r="D6" s="50"/>
      <c r="E6" s="50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4"/>
      <c r="X6" s="104"/>
      <c r="Y6" s="104"/>
      <c r="Z6" s="104"/>
      <c r="AA6" s="50"/>
    </row>
    <row r="9" spans="1:27" x14ac:dyDescent="0.25">
      <c r="D9" s="108"/>
      <c r="E9" s="109"/>
      <c r="F9" s="110"/>
      <c r="G9" s="110"/>
      <c r="H9" s="111"/>
    </row>
    <row r="10" spans="1:27" x14ac:dyDescent="0.25">
      <c r="D10" s="112"/>
      <c r="E10" s="120" t="s">
        <v>129</v>
      </c>
      <c r="F10" s="120"/>
      <c r="G10" s="114"/>
      <c r="H10" s="115"/>
    </row>
    <row r="11" spans="1:27" x14ac:dyDescent="0.25">
      <c r="D11" s="112"/>
      <c r="E11" s="113" t="s">
        <v>128</v>
      </c>
      <c r="F11" s="121"/>
      <c r="G11" s="114"/>
      <c r="H11" s="115"/>
    </row>
    <row r="12" spans="1:27" x14ac:dyDescent="0.25">
      <c r="D12" s="112"/>
      <c r="E12" s="113" t="s">
        <v>127</v>
      </c>
      <c r="F12" s="121"/>
      <c r="G12" s="114"/>
      <c r="H12" s="115"/>
    </row>
    <row r="13" spans="1:27" x14ac:dyDescent="0.25">
      <c r="D13" s="112"/>
      <c r="E13" s="113"/>
      <c r="F13" s="114"/>
      <c r="G13" s="114"/>
      <c r="H13" s="115"/>
    </row>
    <row r="14" spans="1:27" x14ac:dyDescent="0.25">
      <c r="D14" s="112"/>
      <c r="E14" s="113" t="s">
        <v>102</v>
      </c>
      <c r="F14" s="260"/>
      <c r="G14" s="261"/>
      <c r="H14" s="115"/>
    </row>
    <row r="15" spans="1:27" x14ac:dyDescent="0.25">
      <c r="D15" s="112"/>
      <c r="E15" s="21"/>
      <c r="F15" s="114"/>
      <c r="G15" s="114"/>
      <c r="H15" s="115"/>
    </row>
    <row r="16" spans="1:27" x14ac:dyDescent="0.25">
      <c r="D16" s="112"/>
      <c r="E16" s="21"/>
      <c r="F16" s="114"/>
      <c r="G16" s="114"/>
      <c r="H16" s="115"/>
    </row>
    <row r="17" spans="3:26" x14ac:dyDescent="0.25">
      <c r="D17" s="116"/>
      <c r="E17" s="117"/>
      <c r="F17" s="118"/>
      <c r="G17" s="118"/>
      <c r="H17" s="119"/>
    </row>
    <row r="20" spans="3:26" ht="24.75" customHeight="1" x14ac:dyDescent="0.25">
      <c r="D20" s="262" t="s">
        <v>131</v>
      </c>
      <c r="E20" s="262" t="s">
        <v>97</v>
      </c>
      <c r="F20" s="262" t="s">
        <v>122</v>
      </c>
      <c r="G20" s="262" t="s">
        <v>123</v>
      </c>
      <c r="H20" s="262" t="s">
        <v>124</v>
      </c>
      <c r="I20" s="262"/>
      <c r="J20" s="264" t="s">
        <v>184</v>
      </c>
      <c r="K20" s="264"/>
      <c r="L20" s="264"/>
      <c r="M20" s="264"/>
      <c r="N20" s="264"/>
      <c r="O20" s="264"/>
      <c r="P20" s="264"/>
      <c r="Q20" s="264"/>
      <c r="R20" s="264"/>
      <c r="S20" s="264"/>
      <c r="T20" s="264"/>
      <c r="U20" s="264"/>
      <c r="V20" s="264"/>
      <c r="W20" s="264"/>
      <c r="X20" s="264"/>
      <c r="Y20" s="264"/>
      <c r="Z20" s="264"/>
    </row>
    <row r="21" spans="3:26" x14ac:dyDescent="0.25">
      <c r="C21" t="s">
        <v>29</v>
      </c>
      <c r="D21" s="263" t="s">
        <v>121</v>
      </c>
      <c r="E21" s="263" t="s">
        <v>97</v>
      </c>
      <c r="F21" s="263"/>
      <c r="G21" s="263"/>
      <c r="H21" s="107">
        <v>50</v>
      </c>
      <c r="I21" s="107">
        <v>100</v>
      </c>
      <c r="J21" s="101" t="s">
        <v>33</v>
      </c>
      <c r="K21" s="101" t="s">
        <v>34</v>
      </c>
      <c r="L21" s="101" t="s">
        <v>35</v>
      </c>
      <c r="M21" s="101" t="s">
        <v>36</v>
      </c>
      <c r="N21" s="101" t="s">
        <v>37</v>
      </c>
      <c r="O21" s="101" t="s">
        <v>38</v>
      </c>
      <c r="P21" s="101" t="s">
        <v>185</v>
      </c>
      <c r="Q21" s="101" t="s">
        <v>39</v>
      </c>
      <c r="R21" s="101" t="s">
        <v>40</v>
      </c>
      <c r="S21" s="101" t="s">
        <v>41</v>
      </c>
      <c r="T21" s="101" t="s">
        <v>42</v>
      </c>
      <c r="U21" s="101" t="s">
        <v>43</v>
      </c>
      <c r="V21" s="101" t="s">
        <v>44</v>
      </c>
      <c r="W21" s="101" t="s">
        <v>45</v>
      </c>
      <c r="X21" s="101" t="s">
        <v>46</v>
      </c>
      <c r="Y21" s="101" t="s">
        <v>47</v>
      </c>
      <c r="Z21" s="101" t="s">
        <v>48</v>
      </c>
    </row>
    <row r="22" spans="3:26" x14ac:dyDescent="0.25">
      <c r="D22" s="24"/>
      <c r="E22" s="24"/>
      <c r="F22" s="105"/>
      <c r="G22" s="105"/>
      <c r="H22" s="105"/>
      <c r="I22" s="105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</row>
    <row r="23" spans="3:26" x14ac:dyDescent="0.25">
      <c r="D23" s="24"/>
      <c r="E23" s="24"/>
      <c r="F23" s="105"/>
      <c r="G23" s="105"/>
      <c r="H23" s="105"/>
      <c r="I23" s="105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</row>
    <row r="24" spans="3:26" x14ac:dyDescent="0.25">
      <c r="D24" s="24"/>
      <c r="E24" s="24"/>
      <c r="F24" s="105"/>
      <c r="G24" s="105"/>
      <c r="H24" s="105"/>
      <c r="I24" s="105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</row>
    <row r="25" spans="3:26" x14ac:dyDescent="0.25">
      <c r="D25" s="24"/>
      <c r="E25" s="24"/>
      <c r="F25" s="105"/>
      <c r="G25" s="105"/>
      <c r="H25" s="105"/>
      <c r="I25" s="105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</row>
    <row r="26" spans="3:26" x14ac:dyDescent="0.25">
      <c r="D26" s="24"/>
      <c r="E26" s="24"/>
      <c r="F26" s="105"/>
      <c r="G26" s="105"/>
      <c r="H26" s="105"/>
      <c r="I26" s="105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</row>
    <row r="27" spans="3:26" x14ac:dyDescent="0.25">
      <c r="D27" s="24"/>
      <c r="E27" s="24"/>
      <c r="F27" s="105"/>
      <c r="G27" s="105"/>
      <c r="H27" s="105"/>
      <c r="I27" s="105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</row>
    <row r="28" spans="3:26" x14ac:dyDescent="0.25">
      <c r="D28" s="24"/>
      <c r="E28" s="24"/>
      <c r="F28" s="105"/>
      <c r="G28" s="105"/>
      <c r="H28" s="105"/>
      <c r="I28" s="105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</row>
    <row r="29" spans="3:26" x14ac:dyDescent="0.25">
      <c r="D29" s="24"/>
      <c r="E29" s="24"/>
      <c r="F29" s="105"/>
      <c r="G29" s="105"/>
      <c r="H29" s="105"/>
      <c r="I29" s="105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</row>
    <row r="30" spans="3:26" x14ac:dyDescent="0.25">
      <c r="D30" s="24"/>
      <c r="E30" s="24"/>
      <c r="F30" s="105"/>
      <c r="G30" s="105"/>
      <c r="H30" s="105"/>
      <c r="I30" s="105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</row>
    <row r="31" spans="3:26" x14ac:dyDescent="0.25">
      <c r="D31" s="24"/>
      <c r="E31" s="24"/>
      <c r="F31" s="105"/>
      <c r="G31" s="105"/>
      <c r="H31" s="105"/>
      <c r="I31" s="105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</row>
    <row r="32" spans="3:26" x14ac:dyDescent="0.25">
      <c r="F32" s="106"/>
      <c r="G32" s="106"/>
      <c r="H32" s="106"/>
      <c r="I32" s="106"/>
    </row>
    <row r="33" spans="6:9" x14ac:dyDescent="0.25">
      <c r="F33" s="106"/>
      <c r="G33" s="106"/>
      <c r="H33" s="106"/>
      <c r="I33" s="106"/>
    </row>
    <row r="34" spans="6:9" x14ac:dyDescent="0.25">
      <c r="F34" s="106"/>
      <c r="G34" s="106"/>
      <c r="H34" s="106"/>
      <c r="I34" s="106"/>
    </row>
    <row r="35" spans="6:9" x14ac:dyDescent="0.25">
      <c r="F35" s="106"/>
      <c r="G35" s="106"/>
      <c r="H35" s="106"/>
      <c r="I35" s="106"/>
    </row>
    <row r="36" spans="6:9" x14ac:dyDescent="0.25">
      <c r="F36" s="106"/>
      <c r="G36" s="106"/>
      <c r="H36" s="106"/>
      <c r="I36" s="106"/>
    </row>
    <row r="37" spans="6:9" x14ac:dyDescent="0.25">
      <c r="F37" s="106"/>
      <c r="G37" s="106"/>
      <c r="H37" s="106"/>
      <c r="I37" s="106"/>
    </row>
    <row r="38" spans="6:9" x14ac:dyDescent="0.25">
      <c r="F38" s="106"/>
      <c r="G38" s="106"/>
      <c r="H38" s="106"/>
      <c r="I38" s="106"/>
    </row>
    <row r="39" spans="6:9" x14ac:dyDescent="0.25">
      <c r="F39" s="106"/>
      <c r="G39" s="106"/>
      <c r="H39" s="106"/>
      <c r="I39" s="106"/>
    </row>
    <row r="40" spans="6:9" x14ac:dyDescent="0.25">
      <c r="F40" s="106"/>
      <c r="G40" s="106"/>
      <c r="H40" s="106"/>
      <c r="I40" s="106"/>
    </row>
    <row r="41" spans="6:9" x14ac:dyDescent="0.25">
      <c r="F41" s="106"/>
      <c r="G41" s="106"/>
      <c r="H41" s="106"/>
      <c r="I41" s="106"/>
    </row>
    <row r="42" spans="6:9" x14ac:dyDescent="0.25">
      <c r="F42" s="106"/>
      <c r="G42" s="106"/>
      <c r="H42" s="106"/>
      <c r="I42" s="106"/>
    </row>
    <row r="43" spans="6:9" x14ac:dyDescent="0.25">
      <c r="F43" s="106"/>
      <c r="G43" s="106"/>
      <c r="H43" s="106"/>
      <c r="I43" s="106"/>
    </row>
    <row r="44" spans="6:9" x14ac:dyDescent="0.25">
      <c r="F44" s="106"/>
      <c r="G44" s="106"/>
      <c r="H44" s="106"/>
      <c r="I44" s="106"/>
    </row>
    <row r="45" spans="6:9" x14ac:dyDescent="0.25">
      <c r="F45" s="106"/>
      <c r="G45" s="106"/>
      <c r="H45" s="106"/>
      <c r="I45" s="106"/>
    </row>
    <row r="46" spans="6:9" x14ac:dyDescent="0.25">
      <c r="F46" s="106"/>
      <c r="G46" s="106"/>
      <c r="H46" s="106"/>
      <c r="I46" s="106"/>
    </row>
    <row r="47" spans="6:9" x14ac:dyDescent="0.25">
      <c r="F47" s="106"/>
      <c r="G47" s="106"/>
      <c r="H47" s="106"/>
      <c r="I47" s="106"/>
    </row>
    <row r="48" spans="6:9" x14ac:dyDescent="0.25">
      <c r="F48" s="106"/>
      <c r="G48" s="106"/>
      <c r="H48" s="106"/>
      <c r="I48" s="106"/>
    </row>
    <row r="49" spans="6:9" x14ac:dyDescent="0.25">
      <c r="F49" s="106"/>
      <c r="G49" s="106"/>
      <c r="H49" s="106"/>
      <c r="I49" s="106"/>
    </row>
    <row r="50" spans="6:9" x14ac:dyDescent="0.25">
      <c r="F50" s="106"/>
      <c r="G50" s="106"/>
      <c r="H50" s="106"/>
      <c r="I50" s="106"/>
    </row>
    <row r="51" spans="6:9" x14ac:dyDescent="0.25">
      <c r="F51" s="106"/>
      <c r="G51" s="106"/>
      <c r="H51" s="106"/>
      <c r="I51" s="106"/>
    </row>
    <row r="52" spans="6:9" x14ac:dyDescent="0.25">
      <c r="F52" s="106"/>
      <c r="G52" s="106"/>
      <c r="H52" s="106"/>
      <c r="I52" s="106"/>
    </row>
    <row r="53" spans="6:9" x14ac:dyDescent="0.25">
      <c r="F53" s="106"/>
      <c r="G53" s="106"/>
      <c r="H53" s="106"/>
      <c r="I53" s="106"/>
    </row>
    <row r="54" spans="6:9" x14ac:dyDescent="0.25">
      <c r="F54" s="106"/>
      <c r="G54" s="106"/>
      <c r="H54" s="106"/>
      <c r="I54" s="106"/>
    </row>
    <row r="55" spans="6:9" x14ac:dyDescent="0.25">
      <c r="F55" s="106"/>
      <c r="G55" s="106"/>
      <c r="H55" s="106"/>
      <c r="I55" s="106"/>
    </row>
    <row r="56" spans="6:9" x14ac:dyDescent="0.25">
      <c r="F56" s="106"/>
      <c r="G56" s="106"/>
      <c r="H56" s="106"/>
      <c r="I56" s="106"/>
    </row>
    <row r="57" spans="6:9" x14ac:dyDescent="0.25">
      <c r="F57" s="106"/>
      <c r="G57" s="106"/>
      <c r="H57" s="106"/>
      <c r="I57" s="106"/>
    </row>
    <row r="58" spans="6:9" x14ac:dyDescent="0.25">
      <c r="F58" s="106"/>
      <c r="G58" s="106"/>
      <c r="H58" s="106"/>
      <c r="I58" s="106"/>
    </row>
    <row r="59" spans="6:9" x14ac:dyDescent="0.25">
      <c r="F59" s="106"/>
      <c r="G59" s="106"/>
      <c r="H59" s="106"/>
      <c r="I59" s="106"/>
    </row>
    <row r="60" spans="6:9" x14ac:dyDescent="0.25">
      <c r="F60" s="106"/>
      <c r="G60" s="106"/>
      <c r="H60" s="106"/>
      <c r="I60" s="106"/>
    </row>
    <row r="61" spans="6:9" x14ac:dyDescent="0.25">
      <c r="F61" s="106"/>
      <c r="G61" s="106"/>
      <c r="H61" s="106"/>
      <c r="I61" s="106"/>
    </row>
    <row r="62" spans="6:9" x14ac:dyDescent="0.25">
      <c r="F62" s="106"/>
      <c r="G62" s="106"/>
      <c r="H62" s="106"/>
      <c r="I62" s="106"/>
    </row>
    <row r="63" spans="6:9" x14ac:dyDescent="0.25">
      <c r="F63" s="106"/>
      <c r="G63" s="106"/>
      <c r="H63" s="106"/>
      <c r="I63" s="106"/>
    </row>
    <row r="64" spans="6:9" x14ac:dyDescent="0.25">
      <c r="F64" s="106"/>
      <c r="G64" s="106"/>
      <c r="H64" s="106"/>
      <c r="I64" s="106"/>
    </row>
    <row r="65" spans="6:9" x14ac:dyDescent="0.25">
      <c r="F65" s="106"/>
      <c r="G65" s="106"/>
      <c r="H65" s="106"/>
      <c r="I65" s="106"/>
    </row>
    <row r="66" spans="6:9" x14ac:dyDescent="0.25">
      <c r="F66" s="106"/>
      <c r="G66" s="106"/>
      <c r="H66" s="106"/>
      <c r="I66" s="106"/>
    </row>
    <row r="67" spans="6:9" x14ac:dyDescent="0.25">
      <c r="F67" s="106"/>
      <c r="G67" s="106"/>
      <c r="H67" s="106"/>
      <c r="I67" s="106"/>
    </row>
    <row r="68" spans="6:9" x14ac:dyDescent="0.25">
      <c r="F68" s="106"/>
      <c r="G68" s="106"/>
      <c r="H68" s="106"/>
      <c r="I68" s="106"/>
    </row>
    <row r="69" spans="6:9" x14ac:dyDescent="0.25">
      <c r="F69" s="106"/>
      <c r="G69" s="106"/>
      <c r="H69" s="106"/>
      <c r="I69" s="106"/>
    </row>
    <row r="70" spans="6:9" x14ac:dyDescent="0.25">
      <c r="F70" s="106"/>
      <c r="G70" s="106"/>
      <c r="H70" s="106"/>
      <c r="I70" s="106"/>
    </row>
    <row r="71" spans="6:9" x14ac:dyDescent="0.25">
      <c r="F71" s="106"/>
      <c r="G71" s="106"/>
      <c r="H71" s="106"/>
      <c r="I71" s="106"/>
    </row>
    <row r="72" spans="6:9" x14ac:dyDescent="0.25">
      <c r="F72" s="106"/>
      <c r="G72" s="106"/>
      <c r="H72" s="106"/>
      <c r="I72" s="106"/>
    </row>
    <row r="73" spans="6:9" x14ac:dyDescent="0.25">
      <c r="F73" s="106"/>
      <c r="G73" s="106"/>
      <c r="H73" s="106"/>
      <c r="I73" s="106"/>
    </row>
    <row r="74" spans="6:9" x14ac:dyDescent="0.25">
      <c r="F74" s="106"/>
      <c r="G74" s="106"/>
      <c r="H74" s="106"/>
      <c r="I74" s="106"/>
    </row>
    <row r="75" spans="6:9" x14ac:dyDescent="0.25">
      <c r="F75" s="106"/>
      <c r="G75" s="106"/>
      <c r="H75" s="106"/>
      <c r="I75" s="106"/>
    </row>
    <row r="76" spans="6:9" x14ac:dyDescent="0.25">
      <c r="F76" s="106"/>
      <c r="G76" s="106"/>
      <c r="H76" s="106"/>
      <c r="I76" s="106"/>
    </row>
    <row r="77" spans="6:9" x14ac:dyDescent="0.25">
      <c r="F77" s="106"/>
      <c r="G77" s="106"/>
      <c r="H77" s="106"/>
      <c r="I77" s="106"/>
    </row>
    <row r="78" spans="6:9" x14ac:dyDescent="0.25">
      <c r="F78" s="106"/>
      <c r="G78" s="106"/>
      <c r="H78" s="106"/>
      <c r="I78" s="106"/>
    </row>
    <row r="79" spans="6:9" x14ac:dyDescent="0.25">
      <c r="F79" s="106"/>
      <c r="G79" s="106"/>
      <c r="H79" s="106"/>
      <c r="I79" s="106"/>
    </row>
    <row r="80" spans="6:9" x14ac:dyDescent="0.25">
      <c r="F80" s="106"/>
      <c r="G80" s="106"/>
      <c r="H80" s="106"/>
      <c r="I80" s="106"/>
    </row>
    <row r="81" spans="6:9" x14ac:dyDescent="0.25">
      <c r="F81" s="106"/>
      <c r="G81" s="106"/>
      <c r="H81" s="106"/>
      <c r="I81" s="106"/>
    </row>
    <row r="82" spans="6:9" x14ac:dyDescent="0.25">
      <c r="F82" s="106"/>
      <c r="G82" s="106"/>
      <c r="H82" s="106"/>
      <c r="I82" s="106"/>
    </row>
    <row r="83" spans="6:9" x14ac:dyDescent="0.25">
      <c r="F83" s="106"/>
      <c r="G83" s="106"/>
      <c r="H83" s="106"/>
      <c r="I83" s="106"/>
    </row>
    <row r="84" spans="6:9" x14ac:dyDescent="0.25">
      <c r="F84" s="106"/>
      <c r="G84" s="106"/>
      <c r="H84" s="106"/>
      <c r="I84" s="106"/>
    </row>
    <row r="85" spans="6:9" x14ac:dyDescent="0.25">
      <c r="F85" s="106"/>
      <c r="G85" s="106"/>
      <c r="H85" s="106"/>
      <c r="I85" s="106"/>
    </row>
    <row r="86" spans="6:9" x14ac:dyDescent="0.25">
      <c r="F86" s="106"/>
      <c r="G86" s="106"/>
      <c r="H86" s="106"/>
      <c r="I86" s="106"/>
    </row>
    <row r="87" spans="6:9" x14ac:dyDescent="0.25">
      <c r="F87" s="106"/>
      <c r="G87" s="106"/>
      <c r="H87" s="106"/>
      <c r="I87" s="106"/>
    </row>
    <row r="88" spans="6:9" x14ac:dyDescent="0.25">
      <c r="F88" s="106"/>
      <c r="G88" s="106"/>
      <c r="H88" s="106"/>
      <c r="I88" s="106"/>
    </row>
    <row r="89" spans="6:9" x14ac:dyDescent="0.25">
      <c r="F89" s="106"/>
      <c r="G89" s="106"/>
      <c r="H89" s="106"/>
      <c r="I89" s="106"/>
    </row>
    <row r="90" spans="6:9" x14ac:dyDescent="0.25">
      <c r="F90" s="106"/>
      <c r="G90" s="106"/>
      <c r="H90" s="106"/>
      <c r="I90" s="106"/>
    </row>
    <row r="91" spans="6:9" x14ac:dyDescent="0.25">
      <c r="F91" s="106"/>
      <c r="G91" s="106"/>
      <c r="H91" s="106"/>
      <c r="I91" s="106"/>
    </row>
    <row r="92" spans="6:9" x14ac:dyDescent="0.25">
      <c r="F92" s="106"/>
      <c r="G92" s="106"/>
      <c r="H92" s="106"/>
      <c r="I92" s="106"/>
    </row>
    <row r="93" spans="6:9" x14ac:dyDescent="0.25">
      <c r="F93" s="106"/>
      <c r="G93" s="106"/>
      <c r="H93" s="106"/>
      <c r="I93" s="106"/>
    </row>
    <row r="94" spans="6:9" x14ac:dyDescent="0.25">
      <c r="F94" s="106"/>
      <c r="G94" s="106"/>
      <c r="H94" s="106"/>
      <c r="I94" s="106"/>
    </row>
    <row r="95" spans="6:9" x14ac:dyDescent="0.25">
      <c r="F95" s="106"/>
      <c r="G95" s="106"/>
      <c r="H95" s="106"/>
      <c r="I95" s="106"/>
    </row>
    <row r="96" spans="6:9" x14ac:dyDescent="0.25">
      <c r="F96" s="106"/>
      <c r="G96" s="106"/>
      <c r="H96" s="106"/>
      <c r="I96" s="106"/>
    </row>
    <row r="97" spans="6:9" x14ac:dyDescent="0.25">
      <c r="F97" s="106"/>
      <c r="G97" s="106"/>
      <c r="H97" s="106"/>
      <c r="I97" s="106"/>
    </row>
    <row r="98" spans="6:9" x14ac:dyDescent="0.25">
      <c r="F98" s="106"/>
      <c r="G98" s="106"/>
      <c r="H98" s="106"/>
      <c r="I98" s="106"/>
    </row>
    <row r="99" spans="6:9" x14ac:dyDescent="0.25">
      <c r="F99" s="106"/>
      <c r="G99" s="106"/>
      <c r="H99" s="106"/>
      <c r="I99" s="106"/>
    </row>
    <row r="100" spans="6:9" x14ac:dyDescent="0.25">
      <c r="F100" s="106"/>
      <c r="G100" s="106"/>
      <c r="H100" s="106"/>
      <c r="I100" s="106"/>
    </row>
    <row r="101" spans="6:9" x14ac:dyDescent="0.25">
      <c r="F101" s="106"/>
      <c r="G101" s="106"/>
      <c r="H101" s="106"/>
      <c r="I101" s="106"/>
    </row>
    <row r="102" spans="6:9" x14ac:dyDescent="0.25">
      <c r="F102" s="106"/>
      <c r="G102" s="106"/>
      <c r="H102" s="106"/>
      <c r="I102" s="106"/>
    </row>
    <row r="103" spans="6:9" x14ac:dyDescent="0.25">
      <c r="F103" s="106"/>
      <c r="G103" s="106"/>
      <c r="H103" s="106"/>
      <c r="I103" s="106"/>
    </row>
    <row r="104" spans="6:9" x14ac:dyDescent="0.25">
      <c r="F104" s="106"/>
      <c r="G104" s="106"/>
      <c r="H104" s="106"/>
      <c r="I104" s="106"/>
    </row>
    <row r="105" spans="6:9" x14ac:dyDescent="0.25">
      <c r="F105" s="106"/>
      <c r="G105" s="106"/>
      <c r="H105" s="106"/>
      <c r="I105" s="106"/>
    </row>
    <row r="106" spans="6:9" x14ac:dyDescent="0.25">
      <c r="F106" s="106"/>
      <c r="G106" s="106"/>
      <c r="H106" s="106"/>
      <c r="I106" s="106"/>
    </row>
    <row r="107" spans="6:9" x14ac:dyDescent="0.25">
      <c r="F107" s="106"/>
      <c r="G107" s="106"/>
      <c r="H107" s="106"/>
      <c r="I107" s="106"/>
    </row>
    <row r="108" spans="6:9" x14ac:dyDescent="0.25">
      <c r="F108" s="106"/>
      <c r="G108" s="106"/>
      <c r="H108" s="106"/>
      <c r="I108" s="106"/>
    </row>
    <row r="109" spans="6:9" x14ac:dyDescent="0.25">
      <c r="F109" s="106"/>
      <c r="G109" s="106"/>
      <c r="H109" s="106"/>
      <c r="I109" s="106"/>
    </row>
    <row r="110" spans="6:9" x14ac:dyDescent="0.25">
      <c r="F110" s="106"/>
      <c r="G110" s="106"/>
      <c r="H110" s="106"/>
      <c r="I110" s="106"/>
    </row>
    <row r="111" spans="6:9" x14ac:dyDescent="0.25">
      <c r="F111" s="106"/>
      <c r="G111" s="106"/>
      <c r="H111" s="106"/>
      <c r="I111" s="106"/>
    </row>
    <row r="112" spans="6:9" x14ac:dyDescent="0.25">
      <c r="F112" s="106"/>
      <c r="G112" s="106"/>
      <c r="H112" s="106"/>
      <c r="I112" s="106"/>
    </row>
    <row r="113" spans="6:9" x14ac:dyDescent="0.25">
      <c r="F113" s="106"/>
      <c r="G113" s="106"/>
      <c r="H113" s="106"/>
      <c r="I113" s="106"/>
    </row>
    <row r="114" spans="6:9" x14ac:dyDescent="0.25">
      <c r="F114" s="106"/>
      <c r="G114" s="106"/>
      <c r="H114" s="106"/>
      <c r="I114" s="106"/>
    </row>
    <row r="115" spans="6:9" x14ac:dyDescent="0.25">
      <c r="F115" s="106"/>
      <c r="G115" s="106"/>
      <c r="H115" s="106"/>
      <c r="I115" s="106"/>
    </row>
    <row r="116" spans="6:9" x14ac:dyDescent="0.25">
      <c r="F116" s="106"/>
      <c r="G116" s="106"/>
      <c r="H116" s="106"/>
      <c r="I116" s="106"/>
    </row>
    <row r="117" spans="6:9" x14ac:dyDescent="0.25">
      <c r="F117" s="106"/>
      <c r="G117" s="106"/>
      <c r="H117" s="106"/>
      <c r="I117" s="106"/>
    </row>
    <row r="118" spans="6:9" x14ac:dyDescent="0.25">
      <c r="F118" s="106"/>
      <c r="G118" s="106"/>
      <c r="H118" s="106"/>
      <c r="I118" s="106"/>
    </row>
    <row r="119" spans="6:9" x14ac:dyDescent="0.25">
      <c r="F119" s="106"/>
      <c r="G119" s="106"/>
      <c r="H119" s="106"/>
      <c r="I119" s="106"/>
    </row>
    <row r="120" spans="6:9" x14ac:dyDescent="0.25">
      <c r="F120" s="106"/>
      <c r="G120" s="106"/>
      <c r="H120" s="106"/>
      <c r="I120" s="106"/>
    </row>
    <row r="121" spans="6:9" x14ac:dyDescent="0.25">
      <c r="F121" s="106"/>
      <c r="G121" s="106"/>
      <c r="H121" s="106"/>
      <c r="I121" s="106"/>
    </row>
    <row r="122" spans="6:9" x14ac:dyDescent="0.25">
      <c r="F122" s="106"/>
      <c r="G122" s="106"/>
      <c r="H122" s="106"/>
      <c r="I122" s="106"/>
    </row>
    <row r="123" spans="6:9" x14ac:dyDescent="0.25">
      <c r="F123" s="106"/>
      <c r="G123" s="106"/>
      <c r="H123" s="106"/>
      <c r="I123" s="106"/>
    </row>
    <row r="124" spans="6:9" x14ac:dyDescent="0.25">
      <c r="F124" s="106"/>
      <c r="G124" s="106"/>
      <c r="H124" s="106"/>
      <c r="I124" s="106"/>
    </row>
    <row r="125" spans="6:9" x14ac:dyDescent="0.25">
      <c r="F125" s="106"/>
      <c r="G125" s="106"/>
      <c r="H125" s="106"/>
      <c r="I125" s="106"/>
    </row>
    <row r="126" spans="6:9" x14ac:dyDescent="0.25">
      <c r="F126" s="106"/>
      <c r="G126" s="106"/>
      <c r="H126" s="106"/>
      <c r="I126" s="106"/>
    </row>
    <row r="127" spans="6:9" x14ac:dyDescent="0.25">
      <c r="F127" s="106"/>
      <c r="G127" s="106"/>
      <c r="H127" s="106"/>
      <c r="I127" s="106"/>
    </row>
    <row r="128" spans="6:9" x14ac:dyDescent="0.25">
      <c r="F128" s="106"/>
      <c r="G128" s="106"/>
      <c r="H128" s="106"/>
      <c r="I128" s="106"/>
    </row>
    <row r="129" spans="6:9" x14ac:dyDescent="0.25">
      <c r="F129" s="106"/>
      <c r="G129" s="106"/>
      <c r="H129" s="106"/>
      <c r="I129" s="106"/>
    </row>
    <row r="130" spans="6:9" x14ac:dyDescent="0.25">
      <c r="F130" s="106"/>
      <c r="G130" s="106"/>
      <c r="H130" s="106"/>
      <c r="I130" s="106"/>
    </row>
    <row r="131" spans="6:9" x14ac:dyDescent="0.25">
      <c r="F131" s="106"/>
      <c r="G131" s="106"/>
      <c r="H131" s="106"/>
      <c r="I131" s="106"/>
    </row>
    <row r="132" spans="6:9" x14ac:dyDescent="0.25">
      <c r="F132" s="106"/>
      <c r="G132" s="106"/>
      <c r="H132" s="106"/>
      <c r="I132" s="106"/>
    </row>
    <row r="133" spans="6:9" x14ac:dyDescent="0.25">
      <c r="F133" s="106"/>
      <c r="G133" s="106"/>
      <c r="H133" s="106"/>
      <c r="I133" s="106"/>
    </row>
    <row r="134" spans="6:9" x14ac:dyDescent="0.25">
      <c r="F134" s="106"/>
      <c r="G134" s="106"/>
      <c r="H134" s="106"/>
      <c r="I134" s="106"/>
    </row>
    <row r="135" spans="6:9" x14ac:dyDescent="0.25">
      <c r="F135" s="106"/>
      <c r="G135" s="106"/>
      <c r="H135" s="106"/>
      <c r="I135" s="106"/>
    </row>
    <row r="136" spans="6:9" x14ac:dyDescent="0.25">
      <c r="F136" s="106"/>
      <c r="G136" s="106"/>
      <c r="H136" s="106"/>
      <c r="I136" s="106"/>
    </row>
    <row r="137" spans="6:9" x14ac:dyDescent="0.25">
      <c r="F137" s="106"/>
      <c r="G137" s="106"/>
      <c r="H137" s="106"/>
      <c r="I137" s="106"/>
    </row>
    <row r="138" spans="6:9" x14ac:dyDescent="0.25">
      <c r="F138" s="106"/>
      <c r="G138" s="106"/>
      <c r="H138" s="106"/>
      <c r="I138" s="106"/>
    </row>
    <row r="139" spans="6:9" x14ac:dyDescent="0.25">
      <c r="F139" s="106"/>
      <c r="G139" s="106"/>
      <c r="H139" s="106"/>
      <c r="I139" s="106"/>
    </row>
    <row r="140" spans="6:9" x14ac:dyDescent="0.25">
      <c r="F140" s="106"/>
      <c r="G140" s="106"/>
      <c r="H140" s="106"/>
      <c r="I140" s="106"/>
    </row>
    <row r="141" spans="6:9" x14ac:dyDescent="0.25">
      <c r="F141" s="106"/>
      <c r="G141" s="106"/>
      <c r="H141" s="106"/>
      <c r="I141" s="106"/>
    </row>
    <row r="142" spans="6:9" x14ac:dyDescent="0.25">
      <c r="F142" s="106"/>
      <c r="G142" s="106"/>
      <c r="H142" s="106"/>
      <c r="I142" s="106"/>
    </row>
    <row r="143" spans="6:9" x14ac:dyDescent="0.25">
      <c r="F143" s="106"/>
      <c r="G143" s="106"/>
      <c r="H143" s="106"/>
      <c r="I143" s="106"/>
    </row>
    <row r="144" spans="6:9" x14ac:dyDescent="0.25">
      <c r="F144" s="106"/>
      <c r="G144" s="106"/>
      <c r="H144" s="106"/>
      <c r="I144" s="106"/>
    </row>
    <row r="145" spans="6:9" x14ac:dyDescent="0.25">
      <c r="F145" s="106"/>
      <c r="G145" s="106"/>
      <c r="H145" s="106"/>
      <c r="I145" s="106"/>
    </row>
    <row r="146" spans="6:9" x14ac:dyDescent="0.25">
      <c r="F146" s="106"/>
      <c r="G146" s="106"/>
      <c r="H146" s="106"/>
      <c r="I146" s="106"/>
    </row>
    <row r="147" spans="6:9" x14ac:dyDescent="0.25">
      <c r="F147" s="106"/>
      <c r="G147" s="106"/>
      <c r="H147" s="106"/>
      <c r="I147" s="106"/>
    </row>
    <row r="148" spans="6:9" x14ac:dyDescent="0.25">
      <c r="F148" s="106"/>
      <c r="G148" s="106"/>
      <c r="H148" s="106"/>
      <c r="I148" s="106"/>
    </row>
    <row r="149" spans="6:9" x14ac:dyDescent="0.25">
      <c r="F149" s="106"/>
      <c r="G149" s="106"/>
      <c r="H149" s="106"/>
      <c r="I149" s="106"/>
    </row>
    <row r="150" spans="6:9" x14ac:dyDescent="0.25">
      <c r="F150" s="106"/>
      <c r="G150" s="106"/>
      <c r="H150" s="106"/>
      <c r="I150" s="106"/>
    </row>
    <row r="151" spans="6:9" x14ac:dyDescent="0.25">
      <c r="F151" s="106"/>
      <c r="G151" s="106"/>
      <c r="H151" s="106"/>
      <c r="I151" s="106"/>
    </row>
    <row r="152" spans="6:9" x14ac:dyDescent="0.25">
      <c r="F152" s="106"/>
      <c r="G152" s="106"/>
      <c r="H152" s="106"/>
      <c r="I152" s="106"/>
    </row>
    <row r="153" spans="6:9" x14ac:dyDescent="0.25">
      <c r="F153" s="106"/>
      <c r="G153" s="106"/>
      <c r="H153" s="106"/>
      <c r="I153" s="106"/>
    </row>
    <row r="154" spans="6:9" x14ac:dyDescent="0.25">
      <c r="F154" s="106"/>
      <c r="G154" s="106"/>
      <c r="H154" s="106"/>
      <c r="I154" s="106"/>
    </row>
    <row r="155" spans="6:9" x14ac:dyDescent="0.25">
      <c r="F155" s="106"/>
      <c r="G155" s="106"/>
      <c r="H155" s="106"/>
      <c r="I155" s="106"/>
    </row>
    <row r="156" spans="6:9" x14ac:dyDescent="0.25">
      <c r="F156" s="106"/>
      <c r="G156" s="106"/>
      <c r="H156" s="106"/>
      <c r="I156" s="106"/>
    </row>
    <row r="157" spans="6:9" x14ac:dyDescent="0.25">
      <c r="F157" s="106"/>
      <c r="G157" s="106"/>
      <c r="H157" s="106"/>
      <c r="I157" s="106"/>
    </row>
    <row r="158" spans="6:9" x14ac:dyDescent="0.25">
      <c r="F158" s="106"/>
      <c r="G158" s="106"/>
      <c r="H158" s="106"/>
      <c r="I158" s="106"/>
    </row>
    <row r="159" spans="6:9" x14ac:dyDescent="0.25">
      <c r="F159" s="106"/>
      <c r="G159" s="106"/>
      <c r="H159" s="106"/>
      <c r="I159" s="106"/>
    </row>
    <row r="160" spans="6:9" x14ac:dyDescent="0.25">
      <c r="F160" s="106"/>
      <c r="G160" s="106"/>
      <c r="H160" s="106"/>
      <c r="I160" s="106"/>
    </row>
    <row r="161" spans="6:9" x14ac:dyDescent="0.25">
      <c r="F161" s="106"/>
      <c r="G161" s="106"/>
      <c r="H161" s="106"/>
      <c r="I161" s="106"/>
    </row>
    <row r="162" spans="6:9" x14ac:dyDescent="0.25">
      <c r="F162" s="106"/>
      <c r="G162" s="106"/>
      <c r="H162" s="106"/>
      <c r="I162" s="106"/>
    </row>
    <row r="163" spans="6:9" x14ac:dyDescent="0.25">
      <c r="F163" s="106"/>
      <c r="G163" s="106"/>
      <c r="H163" s="106"/>
      <c r="I163" s="106"/>
    </row>
    <row r="164" spans="6:9" x14ac:dyDescent="0.25">
      <c r="F164" s="106"/>
      <c r="G164" s="106"/>
      <c r="H164" s="106"/>
      <c r="I164" s="106"/>
    </row>
    <row r="165" spans="6:9" x14ac:dyDescent="0.25">
      <c r="F165" s="106"/>
      <c r="G165" s="106"/>
      <c r="H165" s="106"/>
      <c r="I165" s="106"/>
    </row>
    <row r="166" spans="6:9" x14ac:dyDescent="0.25">
      <c r="F166" s="106"/>
      <c r="G166" s="106"/>
      <c r="H166" s="106"/>
      <c r="I166" s="106"/>
    </row>
    <row r="167" spans="6:9" x14ac:dyDescent="0.25">
      <c r="F167" s="106"/>
      <c r="G167" s="106"/>
      <c r="H167" s="106"/>
      <c r="I167" s="106"/>
    </row>
    <row r="168" spans="6:9" x14ac:dyDescent="0.25">
      <c r="F168" s="106"/>
      <c r="G168" s="106"/>
      <c r="H168" s="106"/>
      <c r="I168" s="106"/>
    </row>
    <row r="169" spans="6:9" x14ac:dyDescent="0.25">
      <c r="F169" s="106"/>
      <c r="G169" s="106"/>
      <c r="H169" s="106"/>
      <c r="I169" s="106"/>
    </row>
    <row r="170" spans="6:9" x14ac:dyDescent="0.25">
      <c r="F170" s="106"/>
      <c r="G170" s="106"/>
      <c r="H170" s="106"/>
      <c r="I170" s="106"/>
    </row>
    <row r="171" spans="6:9" x14ac:dyDescent="0.25">
      <c r="F171" s="106"/>
      <c r="G171" s="106"/>
      <c r="H171" s="106"/>
      <c r="I171" s="106"/>
    </row>
    <row r="172" spans="6:9" x14ac:dyDescent="0.25">
      <c r="F172" s="106"/>
      <c r="G172" s="106"/>
      <c r="H172" s="106"/>
      <c r="I172" s="106"/>
    </row>
    <row r="173" spans="6:9" x14ac:dyDescent="0.25">
      <c r="F173" s="106"/>
      <c r="G173" s="106"/>
      <c r="H173" s="106"/>
      <c r="I173" s="106"/>
    </row>
    <row r="174" spans="6:9" x14ac:dyDescent="0.25">
      <c r="F174" s="106"/>
      <c r="G174" s="106"/>
      <c r="H174" s="106"/>
      <c r="I174" s="106"/>
    </row>
    <row r="175" spans="6:9" x14ac:dyDescent="0.25">
      <c r="F175" s="106"/>
      <c r="G175" s="106"/>
      <c r="H175" s="106"/>
      <c r="I175" s="106"/>
    </row>
    <row r="176" spans="6:9" x14ac:dyDescent="0.25">
      <c r="F176" s="106"/>
      <c r="G176" s="106"/>
      <c r="H176" s="106"/>
      <c r="I176" s="106"/>
    </row>
    <row r="177" spans="6:9" x14ac:dyDescent="0.25">
      <c r="F177" s="106"/>
      <c r="G177" s="106"/>
      <c r="H177" s="106"/>
      <c r="I177" s="106"/>
    </row>
    <row r="178" spans="6:9" x14ac:dyDescent="0.25">
      <c r="F178" s="106"/>
      <c r="G178" s="106"/>
      <c r="H178" s="106"/>
      <c r="I178" s="106"/>
    </row>
    <row r="179" spans="6:9" x14ac:dyDescent="0.25">
      <c r="F179" s="106"/>
      <c r="G179" s="106"/>
      <c r="H179" s="106"/>
      <c r="I179" s="106"/>
    </row>
    <row r="180" spans="6:9" x14ac:dyDescent="0.25">
      <c r="F180" s="106"/>
      <c r="G180" s="106"/>
      <c r="H180" s="106"/>
      <c r="I180" s="106"/>
    </row>
    <row r="181" spans="6:9" x14ac:dyDescent="0.25">
      <c r="F181" s="106"/>
      <c r="G181" s="106"/>
      <c r="H181" s="106"/>
      <c r="I181" s="106"/>
    </row>
    <row r="182" spans="6:9" x14ac:dyDescent="0.25">
      <c r="F182" s="106"/>
      <c r="G182" s="106"/>
      <c r="H182" s="106"/>
      <c r="I182" s="106"/>
    </row>
    <row r="183" spans="6:9" x14ac:dyDescent="0.25">
      <c r="F183" s="106"/>
      <c r="G183" s="106"/>
      <c r="H183" s="106"/>
      <c r="I183" s="106"/>
    </row>
    <row r="184" spans="6:9" x14ac:dyDescent="0.25">
      <c r="F184" s="106"/>
      <c r="G184" s="106"/>
      <c r="H184" s="106"/>
      <c r="I184" s="106"/>
    </row>
    <row r="185" spans="6:9" x14ac:dyDescent="0.25">
      <c r="F185" s="106"/>
      <c r="G185" s="106"/>
      <c r="H185" s="106"/>
      <c r="I185" s="106"/>
    </row>
    <row r="186" spans="6:9" x14ac:dyDescent="0.25">
      <c r="F186" s="106"/>
      <c r="G186" s="106"/>
      <c r="H186" s="106"/>
      <c r="I186" s="106"/>
    </row>
    <row r="187" spans="6:9" x14ac:dyDescent="0.25">
      <c r="F187" s="106"/>
      <c r="G187" s="106"/>
      <c r="H187" s="106"/>
      <c r="I187" s="106"/>
    </row>
    <row r="188" spans="6:9" x14ac:dyDescent="0.25">
      <c r="F188" s="106"/>
      <c r="G188" s="106"/>
      <c r="H188" s="106"/>
      <c r="I188" s="106"/>
    </row>
    <row r="189" spans="6:9" x14ac:dyDescent="0.25">
      <c r="F189" s="106"/>
      <c r="G189" s="106"/>
      <c r="H189" s="106"/>
      <c r="I189" s="106"/>
    </row>
    <row r="190" spans="6:9" x14ac:dyDescent="0.25">
      <c r="F190" s="106"/>
      <c r="G190" s="106"/>
      <c r="H190" s="106"/>
      <c r="I190" s="106"/>
    </row>
    <row r="191" spans="6:9" x14ac:dyDescent="0.25">
      <c r="F191" s="106"/>
      <c r="G191" s="106"/>
      <c r="H191" s="106"/>
      <c r="I191" s="106"/>
    </row>
    <row r="192" spans="6:9" x14ac:dyDescent="0.25">
      <c r="F192" s="106"/>
      <c r="G192" s="106"/>
      <c r="H192" s="106"/>
      <c r="I192" s="106"/>
    </row>
    <row r="193" spans="6:9" x14ac:dyDescent="0.25">
      <c r="F193" s="106"/>
      <c r="G193" s="106"/>
      <c r="H193" s="106"/>
      <c r="I193" s="106"/>
    </row>
    <row r="194" spans="6:9" x14ac:dyDescent="0.25">
      <c r="F194" s="106"/>
      <c r="G194" s="106"/>
      <c r="H194" s="106"/>
      <c r="I194" s="106"/>
    </row>
    <row r="195" spans="6:9" x14ac:dyDescent="0.25">
      <c r="F195" s="106"/>
      <c r="G195" s="106"/>
      <c r="H195" s="106"/>
      <c r="I195" s="106"/>
    </row>
    <row r="196" spans="6:9" x14ac:dyDescent="0.25">
      <c r="F196" s="106"/>
      <c r="G196" s="106"/>
      <c r="H196" s="106"/>
      <c r="I196" s="106"/>
    </row>
    <row r="197" spans="6:9" x14ac:dyDescent="0.25">
      <c r="F197" s="106"/>
      <c r="G197" s="106"/>
      <c r="H197" s="106"/>
      <c r="I197" s="106"/>
    </row>
    <row r="198" spans="6:9" x14ac:dyDescent="0.25">
      <c r="F198" s="106"/>
      <c r="G198" s="106"/>
      <c r="H198" s="106"/>
      <c r="I198" s="106"/>
    </row>
    <row r="199" spans="6:9" x14ac:dyDescent="0.25">
      <c r="F199" s="106"/>
      <c r="G199" s="106"/>
      <c r="H199" s="106"/>
      <c r="I199" s="106"/>
    </row>
    <row r="200" spans="6:9" x14ac:dyDescent="0.25">
      <c r="F200" s="106"/>
      <c r="G200" s="106"/>
      <c r="H200" s="106"/>
      <c r="I200" s="106"/>
    </row>
    <row r="201" spans="6:9" x14ac:dyDescent="0.25">
      <c r="F201" s="106"/>
      <c r="G201" s="106"/>
      <c r="H201" s="106"/>
      <c r="I201" s="106"/>
    </row>
    <row r="202" spans="6:9" x14ac:dyDescent="0.25">
      <c r="F202" s="106"/>
      <c r="G202" s="106"/>
      <c r="H202" s="106"/>
      <c r="I202" s="106"/>
    </row>
    <row r="203" spans="6:9" x14ac:dyDescent="0.25">
      <c r="F203" s="106"/>
      <c r="G203" s="106"/>
      <c r="H203" s="106"/>
      <c r="I203" s="106"/>
    </row>
    <row r="204" spans="6:9" x14ac:dyDescent="0.25">
      <c r="F204" s="106"/>
      <c r="G204" s="106"/>
      <c r="H204" s="106"/>
      <c r="I204" s="106"/>
    </row>
    <row r="205" spans="6:9" x14ac:dyDescent="0.25">
      <c r="F205" s="106"/>
      <c r="G205" s="106"/>
      <c r="H205" s="106"/>
      <c r="I205" s="106"/>
    </row>
    <row r="206" spans="6:9" x14ac:dyDescent="0.25">
      <c r="F206" s="106"/>
      <c r="G206" s="106"/>
      <c r="H206" s="106"/>
      <c r="I206" s="106"/>
    </row>
    <row r="207" spans="6:9" x14ac:dyDescent="0.25">
      <c r="F207" s="106"/>
      <c r="G207" s="106"/>
      <c r="H207" s="106"/>
      <c r="I207" s="106"/>
    </row>
    <row r="208" spans="6:9" x14ac:dyDescent="0.25">
      <c r="F208" s="106"/>
      <c r="G208" s="106"/>
      <c r="H208" s="106"/>
      <c r="I208" s="106"/>
    </row>
    <row r="209" spans="6:9" x14ac:dyDescent="0.25">
      <c r="F209" s="106"/>
      <c r="G209" s="106"/>
      <c r="H209" s="106"/>
      <c r="I209" s="106"/>
    </row>
    <row r="210" spans="6:9" x14ac:dyDescent="0.25">
      <c r="F210" s="106"/>
      <c r="G210" s="106"/>
      <c r="H210" s="106"/>
      <c r="I210" s="106"/>
    </row>
    <row r="211" spans="6:9" x14ac:dyDescent="0.25">
      <c r="F211" s="106"/>
      <c r="G211" s="106"/>
      <c r="H211" s="106"/>
      <c r="I211" s="106"/>
    </row>
    <row r="212" spans="6:9" x14ac:dyDescent="0.25">
      <c r="F212" s="106"/>
      <c r="G212" s="106"/>
      <c r="H212" s="106"/>
      <c r="I212" s="106"/>
    </row>
    <row r="213" spans="6:9" x14ac:dyDescent="0.25">
      <c r="F213" s="106"/>
      <c r="G213" s="106"/>
      <c r="H213" s="106"/>
      <c r="I213" s="106"/>
    </row>
    <row r="214" spans="6:9" x14ac:dyDescent="0.25">
      <c r="F214" s="106"/>
      <c r="G214" s="106"/>
      <c r="H214" s="106"/>
      <c r="I214" s="106"/>
    </row>
    <row r="215" spans="6:9" x14ac:dyDescent="0.25">
      <c r="F215" s="106"/>
      <c r="G215" s="106"/>
      <c r="H215" s="106"/>
      <c r="I215" s="106"/>
    </row>
    <row r="216" spans="6:9" x14ac:dyDescent="0.25">
      <c r="F216" s="106"/>
      <c r="G216" s="106"/>
      <c r="H216" s="106"/>
      <c r="I216" s="106"/>
    </row>
    <row r="217" spans="6:9" x14ac:dyDescent="0.25">
      <c r="F217" s="106"/>
      <c r="G217" s="106"/>
      <c r="H217" s="106"/>
      <c r="I217" s="106"/>
    </row>
    <row r="218" spans="6:9" x14ac:dyDescent="0.25">
      <c r="F218" s="106"/>
      <c r="G218" s="106"/>
      <c r="H218" s="106"/>
      <c r="I218" s="106"/>
    </row>
    <row r="219" spans="6:9" x14ac:dyDescent="0.25">
      <c r="F219" s="106"/>
      <c r="G219" s="106"/>
      <c r="H219" s="106"/>
      <c r="I219" s="106"/>
    </row>
    <row r="220" spans="6:9" x14ac:dyDescent="0.25">
      <c r="F220" s="106"/>
      <c r="G220" s="106"/>
      <c r="H220" s="106"/>
      <c r="I220" s="106"/>
    </row>
    <row r="221" spans="6:9" x14ac:dyDescent="0.25">
      <c r="F221" s="106"/>
      <c r="G221" s="106"/>
      <c r="H221" s="106"/>
      <c r="I221" s="106"/>
    </row>
    <row r="222" spans="6:9" x14ac:dyDescent="0.25">
      <c r="F222" s="106"/>
      <c r="G222" s="106"/>
      <c r="H222" s="106"/>
      <c r="I222" s="106"/>
    </row>
    <row r="223" spans="6:9" x14ac:dyDescent="0.25">
      <c r="F223" s="106"/>
      <c r="G223" s="106"/>
      <c r="H223" s="106"/>
      <c r="I223" s="106"/>
    </row>
    <row r="224" spans="6:9" x14ac:dyDescent="0.25">
      <c r="F224" s="106"/>
      <c r="G224" s="106"/>
      <c r="H224" s="106"/>
      <c r="I224" s="106"/>
    </row>
    <row r="225" spans="6:9" x14ac:dyDescent="0.25">
      <c r="F225" s="106"/>
      <c r="G225" s="106"/>
      <c r="H225" s="106"/>
      <c r="I225" s="106"/>
    </row>
    <row r="226" spans="6:9" x14ac:dyDescent="0.25">
      <c r="F226" s="106"/>
      <c r="G226" s="106"/>
      <c r="H226" s="106"/>
      <c r="I226" s="106"/>
    </row>
    <row r="227" spans="6:9" x14ac:dyDescent="0.25">
      <c r="F227" s="106"/>
      <c r="G227" s="106"/>
      <c r="H227" s="106"/>
      <c r="I227" s="106"/>
    </row>
    <row r="228" spans="6:9" x14ac:dyDescent="0.25">
      <c r="F228" s="106"/>
      <c r="G228" s="106"/>
      <c r="H228" s="106"/>
      <c r="I228" s="106"/>
    </row>
    <row r="229" spans="6:9" x14ac:dyDescent="0.25">
      <c r="F229" s="106"/>
      <c r="G229" s="106"/>
      <c r="H229" s="106"/>
      <c r="I229" s="106"/>
    </row>
    <row r="230" spans="6:9" x14ac:dyDescent="0.25">
      <c r="F230" s="106"/>
      <c r="G230" s="106"/>
      <c r="H230" s="106"/>
      <c r="I230" s="106"/>
    </row>
    <row r="231" spans="6:9" x14ac:dyDescent="0.25">
      <c r="F231" s="106"/>
      <c r="G231" s="106"/>
      <c r="H231" s="106"/>
      <c r="I231" s="106"/>
    </row>
    <row r="232" spans="6:9" x14ac:dyDescent="0.25">
      <c r="F232" s="106"/>
      <c r="G232" s="106"/>
      <c r="H232" s="106"/>
      <c r="I232" s="106"/>
    </row>
    <row r="233" spans="6:9" x14ac:dyDescent="0.25">
      <c r="F233" s="106"/>
      <c r="G233" s="106"/>
      <c r="H233" s="106"/>
      <c r="I233" s="106"/>
    </row>
    <row r="234" spans="6:9" x14ac:dyDescent="0.25">
      <c r="F234" s="106"/>
      <c r="G234" s="106"/>
      <c r="H234" s="106"/>
      <c r="I234" s="106"/>
    </row>
    <row r="235" spans="6:9" x14ac:dyDescent="0.25">
      <c r="F235" s="106"/>
      <c r="G235" s="106"/>
      <c r="H235" s="106"/>
      <c r="I235" s="106"/>
    </row>
    <row r="236" spans="6:9" x14ac:dyDescent="0.25">
      <c r="F236" s="106"/>
      <c r="G236" s="106"/>
      <c r="H236" s="106"/>
      <c r="I236" s="106"/>
    </row>
    <row r="237" spans="6:9" x14ac:dyDescent="0.25">
      <c r="F237" s="106"/>
      <c r="G237" s="106"/>
      <c r="H237" s="106"/>
      <c r="I237" s="106"/>
    </row>
    <row r="238" spans="6:9" x14ac:dyDescent="0.25">
      <c r="F238" s="106"/>
      <c r="G238" s="106"/>
      <c r="H238" s="106"/>
      <c r="I238" s="106"/>
    </row>
    <row r="239" spans="6:9" x14ac:dyDescent="0.25">
      <c r="F239" s="106"/>
      <c r="G239" s="106"/>
      <c r="H239" s="106"/>
      <c r="I239" s="106"/>
    </row>
    <row r="240" spans="6:9" x14ac:dyDescent="0.25">
      <c r="F240" s="106"/>
      <c r="G240" s="106"/>
      <c r="H240" s="106"/>
      <c r="I240" s="106"/>
    </row>
    <row r="241" spans="4:9" x14ac:dyDescent="0.25">
      <c r="F241" s="106"/>
      <c r="G241" s="106"/>
      <c r="H241" s="106"/>
      <c r="I241" s="106"/>
    </row>
    <row r="242" spans="4:9" x14ac:dyDescent="0.25">
      <c r="F242" s="106"/>
      <c r="G242" s="106"/>
      <c r="H242" s="106"/>
      <c r="I242" s="106"/>
    </row>
    <row r="243" spans="4:9" x14ac:dyDescent="0.25">
      <c r="F243" s="106"/>
      <c r="G243" s="106"/>
      <c r="H243" s="106"/>
      <c r="I243" s="106"/>
    </row>
    <row r="244" spans="4:9" x14ac:dyDescent="0.25">
      <c r="F244" s="106"/>
      <c r="G244" s="106"/>
      <c r="H244" s="106"/>
      <c r="I244" s="106"/>
    </row>
    <row r="245" spans="4:9" x14ac:dyDescent="0.25">
      <c r="F245" s="106"/>
      <c r="G245" s="106"/>
      <c r="H245" s="106"/>
      <c r="I245" s="106"/>
    </row>
    <row r="246" spans="4:9" x14ac:dyDescent="0.25">
      <c r="F246" s="106"/>
      <c r="G246" s="106"/>
      <c r="H246" s="106"/>
      <c r="I246" s="106"/>
    </row>
    <row r="247" spans="4:9" x14ac:dyDescent="0.25">
      <c r="F247" s="106"/>
      <c r="G247" s="106"/>
      <c r="H247" s="106"/>
      <c r="I247" s="106"/>
    </row>
    <row r="248" spans="4:9" x14ac:dyDescent="0.25">
      <c r="F248" s="106"/>
      <c r="G248" s="106"/>
      <c r="H248" s="106"/>
      <c r="I248" s="106"/>
    </row>
    <row r="249" spans="4:9" x14ac:dyDescent="0.25">
      <c r="F249" s="106"/>
      <c r="G249" s="106"/>
      <c r="H249" s="106"/>
      <c r="I249" s="106"/>
    </row>
    <row r="250" spans="4:9" x14ac:dyDescent="0.25">
      <c r="F250" s="106"/>
      <c r="G250" s="106"/>
      <c r="H250" s="106"/>
      <c r="I250" s="106"/>
    </row>
    <row r="251" spans="4:9" x14ac:dyDescent="0.25">
      <c r="F251" s="106"/>
      <c r="G251" s="106"/>
      <c r="H251" s="106"/>
      <c r="I251" s="106"/>
    </row>
    <row r="252" spans="4:9" x14ac:dyDescent="0.25">
      <c r="F252" s="106"/>
      <c r="G252" s="106"/>
      <c r="H252" s="106"/>
      <c r="I252" s="106"/>
    </row>
    <row r="253" spans="4:9" x14ac:dyDescent="0.25">
      <c r="D253" s="23" t="s">
        <v>126</v>
      </c>
      <c r="F253" s="106"/>
      <c r="G253" s="106"/>
      <c r="H253" s="106"/>
      <c r="I253" s="106"/>
    </row>
    <row r="254" spans="4:9" x14ac:dyDescent="0.25">
      <c r="D254" s="23" t="s">
        <v>126</v>
      </c>
      <c r="F254" s="106"/>
      <c r="G254" s="106"/>
      <c r="H254" s="106"/>
      <c r="I254" s="106"/>
    </row>
    <row r="255" spans="4:9" x14ac:dyDescent="0.25">
      <c r="D255" s="23" t="s">
        <v>126</v>
      </c>
      <c r="F255" s="106"/>
      <c r="G255" s="106"/>
      <c r="H255" s="106"/>
      <c r="I255" s="106"/>
    </row>
    <row r="256" spans="4:9" x14ac:dyDescent="0.25">
      <c r="F256" s="106"/>
      <c r="G256" s="106"/>
      <c r="H256" s="106"/>
      <c r="I256" s="106"/>
    </row>
    <row r="257" spans="4:9" x14ac:dyDescent="0.25">
      <c r="F257" s="106"/>
      <c r="G257" s="106"/>
      <c r="H257" s="106"/>
      <c r="I257" s="106"/>
    </row>
    <row r="258" spans="4:9" x14ac:dyDescent="0.25">
      <c r="D258" s="23" t="s">
        <v>126</v>
      </c>
      <c r="F258" s="106"/>
      <c r="G258" s="106"/>
      <c r="H258" s="106"/>
      <c r="I258" s="106"/>
    </row>
    <row r="259" spans="4:9" x14ac:dyDescent="0.25">
      <c r="F259" s="106"/>
      <c r="G259" s="106"/>
      <c r="H259" s="106"/>
      <c r="I259" s="106"/>
    </row>
    <row r="260" spans="4:9" x14ac:dyDescent="0.25">
      <c r="F260" s="106"/>
      <c r="G260" s="106"/>
      <c r="H260" s="106"/>
      <c r="I260" s="106"/>
    </row>
    <row r="261" spans="4:9" x14ac:dyDescent="0.25">
      <c r="F261" s="106"/>
      <c r="G261" s="106"/>
      <c r="H261" s="106"/>
      <c r="I261" s="106"/>
    </row>
    <row r="262" spans="4:9" x14ac:dyDescent="0.25">
      <c r="F262" s="106"/>
      <c r="G262" s="106"/>
      <c r="H262" s="106"/>
      <c r="I262" s="106"/>
    </row>
    <row r="263" spans="4:9" x14ac:dyDescent="0.25">
      <c r="F263" s="106"/>
      <c r="G263" s="106"/>
      <c r="H263" s="106"/>
      <c r="I263" s="106"/>
    </row>
    <row r="264" spans="4:9" x14ac:dyDescent="0.25">
      <c r="F264" s="106"/>
      <c r="G264" s="106"/>
      <c r="H264" s="106"/>
      <c r="I264" s="106"/>
    </row>
    <row r="265" spans="4:9" x14ac:dyDescent="0.25">
      <c r="F265" s="106"/>
      <c r="G265" s="106"/>
      <c r="H265" s="106"/>
      <c r="I265" s="106"/>
    </row>
    <row r="266" spans="4:9" x14ac:dyDescent="0.25">
      <c r="F266" s="106"/>
      <c r="G266" s="106"/>
      <c r="H266" s="106"/>
      <c r="I266" s="106"/>
    </row>
    <row r="267" spans="4:9" x14ac:dyDescent="0.25">
      <c r="F267" s="106"/>
      <c r="G267" s="106"/>
      <c r="H267" s="106"/>
      <c r="I267" s="106"/>
    </row>
    <row r="268" spans="4:9" x14ac:dyDescent="0.25">
      <c r="F268" s="106"/>
      <c r="G268" s="106"/>
      <c r="H268" s="106"/>
      <c r="I268" s="106"/>
    </row>
    <row r="269" spans="4:9" x14ac:dyDescent="0.25">
      <c r="F269" s="106"/>
      <c r="G269" s="106"/>
      <c r="H269" s="106"/>
      <c r="I269" s="106"/>
    </row>
    <row r="270" spans="4:9" x14ac:dyDescent="0.25">
      <c r="F270" s="106"/>
      <c r="G270" s="106"/>
      <c r="H270" s="106"/>
      <c r="I270" s="106"/>
    </row>
    <row r="271" spans="4:9" x14ac:dyDescent="0.25">
      <c r="F271" s="106"/>
      <c r="G271" s="106"/>
      <c r="H271" s="106"/>
      <c r="I271" s="106"/>
    </row>
    <row r="272" spans="4:9" x14ac:dyDescent="0.25">
      <c r="F272" s="106"/>
      <c r="G272" s="106"/>
      <c r="H272" s="106"/>
      <c r="I272" s="106"/>
    </row>
    <row r="273" spans="6:9" x14ac:dyDescent="0.25">
      <c r="F273" s="106"/>
      <c r="G273" s="106"/>
      <c r="H273" s="106"/>
      <c r="I273" s="106"/>
    </row>
    <row r="274" spans="6:9" x14ac:dyDescent="0.25">
      <c r="F274" s="106"/>
      <c r="G274" s="106"/>
      <c r="H274" s="106"/>
      <c r="I274" s="106"/>
    </row>
    <row r="275" spans="6:9" x14ac:dyDescent="0.25">
      <c r="F275" s="106"/>
      <c r="G275" s="106"/>
      <c r="H275" s="106"/>
      <c r="I275" s="106"/>
    </row>
    <row r="276" spans="6:9" x14ac:dyDescent="0.25">
      <c r="F276" s="106"/>
      <c r="G276" s="106"/>
      <c r="H276" s="106"/>
      <c r="I276" s="106"/>
    </row>
    <row r="277" spans="6:9" x14ac:dyDescent="0.25">
      <c r="F277" s="106"/>
      <c r="G277" s="106"/>
      <c r="H277" s="106"/>
      <c r="I277" s="106"/>
    </row>
    <row r="278" spans="6:9" x14ac:dyDescent="0.25">
      <c r="F278" s="106"/>
      <c r="G278" s="106"/>
      <c r="H278" s="106"/>
      <c r="I278" s="106"/>
    </row>
    <row r="279" spans="6:9" x14ac:dyDescent="0.25">
      <c r="F279" s="106"/>
      <c r="G279" s="106"/>
      <c r="H279" s="106"/>
      <c r="I279" s="106"/>
    </row>
    <row r="280" spans="6:9" x14ac:dyDescent="0.25">
      <c r="F280" s="106"/>
      <c r="G280" s="106"/>
      <c r="H280" s="106"/>
      <c r="I280" s="106"/>
    </row>
    <row r="281" spans="6:9" x14ac:dyDescent="0.25">
      <c r="F281" s="106"/>
      <c r="G281" s="106"/>
      <c r="H281" s="106"/>
      <c r="I281" s="106"/>
    </row>
    <row r="282" spans="6:9" x14ac:dyDescent="0.25">
      <c r="F282" s="106"/>
      <c r="G282" s="106"/>
      <c r="H282" s="106"/>
      <c r="I282" s="106"/>
    </row>
    <row r="283" spans="6:9" x14ac:dyDescent="0.25">
      <c r="F283" s="106"/>
      <c r="G283" s="106"/>
      <c r="H283" s="106"/>
      <c r="I283" s="106"/>
    </row>
    <row r="284" spans="6:9" x14ac:dyDescent="0.25">
      <c r="F284" s="106"/>
      <c r="G284" s="106"/>
      <c r="H284" s="106"/>
      <c r="I284" s="106"/>
    </row>
    <row r="285" spans="6:9" x14ac:dyDescent="0.25">
      <c r="F285" s="106"/>
      <c r="G285" s="106"/>
      <c r="H285" s="106"/>
      <c r="I285" s="106"/>
    </row>
    <row r="286" spans="6:9" x14ac:dyDescent="0.25">
      <c r="F286" s="106"/>
      <c r="G286" s="106"/>
      <c r="H286" s="106"/>
      <c r="I286" s="106"/>
    </row>
    <row r="287" spans="6:9" x14ac:dyDescent="0.25">
      <c r="F287" s="106"/>
      <c r="G287" s="106"/>
      <c r="H287" s="106"/>
      <c r="I287" s="106"/>
    </row>
    <row r="288" spans="6:9" x14ac:dyDescent="0.25">
      <c r="F288" s="106"/>
      <c r="G288" s="106"/>
      <c r="H288" s="106"/>
      <c r="I288" s="106"/>
    </row>
    <row r="289" spans="6:9" x14ac:dyDescent="0.25">
      <c r="F289" s="106"/>
      <c r="G289" s="106"/>
      <c r="H289" s="106"/>
      <c r="I289" s="106"/>
    </row>
    <row r="290" spans="6:9" x14ac:dyDescent="0.25">
      <c r="F290" s="106"/>
      <c r="G290" s="106"/>
      <c r="H290" s="106"/>
      <c r="I290" s="106"/>
    </row>
    <row r="291" spans="6:9" x14ac:dyDescent="0.25">
      <c r="F291" s="106"/>
      <c r="G291" s="106"/>
      <c r="H291" s="106"/>
      <c r="I291" s="106"/>
    </row>
    <row r="292" spans="6:9" x14ac:dyDescent="0.25">
      <c r="F292" s="106"/>
      <c r="G292" s="106"/>
      <c r="H292" s="106"/>
      <c r="I292" s="106"/>
    </row>
    <row r="293" spans="6:9" x14ac:dyDescent="0.25">
      <c r="F293" s="106"/>
      <c r="G293" s="106"/>
      <c r="H293" s="106"/>
      <c r="I293" s="106"/>
    </row>
    <row r="294" spans="6:9" x14ac:dyDescent="0.25">
      <c r="F294" s="106"/>
      <c r="G294" s="106"/>
      <c r="H294" s="106"/>
      <c r="I294" s="106"/>
    </row>
    <row r="295" spans="6:9" x14ac:dyDescent="0.25">
      <c r="F295" s="106"/>
      <c r="G295" s="106"/>
      <c r="H295" s="106"/>
      <c r="I295" s="106"/>
    </row>
    <row r="296" spans="6:9" x14ac:dyDescent="0.25">
      <c r="F296" s="106"/>
      <c r="G296" s="106"/>
      <c r="H296" s="106"/>
      <c r="I296" s="106"/>
    </row>
    <row r="297" spans="6:9" x14ac:dyDescent="0.25">
      <c r="F297" s="106"/>
      <c r="G297" s="106"/>
      <c r="H297" s="106"/>
      <c r="I297" s="106"/>
    </row>
    <row r="298" spans="6:9" x14ac:dyDescent="0.25">
      <c r="F298" s="106"/>
      <c r="G298" s="106"/>
      <c r="H298" s="106"/>
      <c r="I298" s="106"/>
    </row>
    <row r="299" spans="6:9" x14ac:dyDescent="0.25">
      <c r="F299" s="106"/>
      <c r="G299" s="106"/>
      <c r="H299" s="106"/>
      <c r="I299" s="106"/>
    </row>
    <row r="300" spans="6:9" x14ac:dyDescent="0.25">
      <c r="F300" s="106"/>
      <c r="G300" s="106"/>
      <c r="H300" s="106"/>
      <c r="I300" s="106"/>
    </row>
    <row r="301" spans="6:9" x14ac:dyDescent="0.25">
      <c r="F301" s="106"/>
      <c r="G301" s="106"/>
      <c r="H301" s="106"/>
      <c r="I301" s="106"/>
    </row>
    <row r="302" spans="6:9" x14ac:dyDescent="0.25">
      <c r="F302" s="106"/>
      <c r="G302" s="106"/>
      <c r="H302" s="106"/>
      <c r="I302" s="106"/>
    </row>
    <row r="303" spans="6:9" x14ac:dyDescent="0.25">
      <c r="F303" s="106"/>
      <c r="G303" s="106"/>
      <c r="H303" s="106"/>
      <c r="I303" s="106"/>
    </row>
    <row r="304" spans="6:9" x14ac:dyDescent="0.25">
      <c r="F304" s="106"/>
      <c r="G304" s="106"/>
      <c r="H304" s="106"/>
      <c r="I304" s="106"/>
    </row>
    <row r="305" spans="6:9" x14ac:dyDescent="0.25">
      <c r="F305" s="106"/>
      <c r="G305" s="106"/>
      <c r="H305" s="106"/>
      <c r="I305" s="106"/>
    </row>
    <row r="306" spans="6:9" x14ac:dyDescent="0.25">
      <c r="F306" s="106"/>
      <c r="G306" s="106"/>
      <c r="H306" s="106"/>
      <c r="I306" s="106"/>
    </row>
    <row r="307" spans="6:9" x14ac:dyDescent="0.25">
      <c r="F307" s="106"/>
      <c r="G307" s="106"/>
      <c r="H307" s="106"/>
      <c r="I307" s="106"/>
    </row>
    <row r="308" spans="6:9" x14ac:dyDescent="0.25">
      <c r="F308" s="106"/>
      <c r="G308" s="106"/>
      <c r="H308" s="106"/>
      <c r="I308" s="106"/>
    </row>
    <row r="309" spans="6:9" x14ac:dyDescent="0.25">
      <c r="F309" s="106"/>
      <c r="G309" s="106"/>
      <c r="H309" s="106"/>
      <c r="I309" s="106"/>
    </row>
    <row r="310" spans="6:9" x14ac:dyDescent="0.25">
      <c r="F310" s="106"/>
      <c r="G310" s="106"/>
      <c r="H310" s="106"/>
      <c r="I310" s="106"/>
    </row>
    <row r="311" spans="6:9" x14ac:dyDescent="0.25">
      <c r="F311" s="106"/>
      <c r="G311" s="106"/>
      <c r="H311" s="106"/>
      <c r="I311" s="106"/>
    </row>
    <row r="312" spans="6:9" x14ac:dyDescent="0.25">
      <c r="F312" s="106"/>
      <c r="G312" s="106"/>
      <c r="H312" s="106"/>
      <c r="I312" s="106"/>
    </row>
    <row r="313" spans="6:9" x14ac:dyDescent="0.25">
      <c r="F313" s="106"/>
      <c r="G313" s="106"/>
      <c r="H313" s="106"/>
      <c r="I313" s="106"/>
    </row>
    <row r="314" spans="6:9" x14ac:dyDescent="0.25">
      <c r="F314" s="106"/>
      <c r="G314" s="106"/>
      <c r="H314" s="106"/>
      <c r="I314" s="106"/>
    </row>
    <row r="315" spans="6:9" x14ac:dyDescent="0.25">
      <c r="F315" s="106"/>
      <c r="G315" s="106"/>
      <c r="H315" s="106"/>
      <c r="I315" s="106"/>
    </row>
    <row r="316" spans="6:9" x14ac:dyDescent="0.25">
      <c r="F316" s="106"/>
      <c r="G316" s="106"/>
      <c r="H316" s="106"/>
      <c r="I316" s="106"/>
    </row>
    <row r="317" spans="6:9" x14ac:dyDescent="0.25">
      <c r="F317" s="106"/>
      <c r="G317" s="106"/>
      <c r="H317" s="106"/>
      <c r="I317" s="106"/>
    </row>
    <row r="318" spans="6:9" x14ac:dyDescent="0.25">
      <c r="F318" s="106"/>
      <c r="G318" s="106"/>
      <c r="H318" s="106"/>
      <c r="I318" s="106"/>
    </row>
    <row r="319" spans="6:9" x14ac:dyDescent="0.25">
      <c r="F319" s="106"/>
      <c r="G319" s="106"/>
      <c r="H319" s="106"/>
      <c r="I319" s="106"/>
    </row>
    <row r="320" spans="6:9" x14ac:dyDescent="0.25">
      <c r="F320" s="106"/>
      <c r="G320" s="106"/>
      <c r="H320" s="106"/>
      <c r="I320" s="106"/>
    </row>
    <row r="321" spans="6:9" x14ac:dyDescent="0.25">
      <c r="F321" s="106"/>
      <c r="G321" s="106"/>
      <c r="H321" s="106"/>
      <c r="I321" s="106"/>
    </row>
    <row r="322" spans="6:9" x14ac:dyDescent="0.25">
      <c r="F322" s="106"/>
      <c r="G322" s="106"/>
      <c r="H322" s="106"/>
      <c r="I322" s="106"/>
    </row>
    <row r="323" spans="6:9" x14ac:dyDescent="0.25">
      <c r="F323" s="106"/>
      <c r="G323" s="106"/>
      <c r="H323" s="106"/>
      <c r="I323" s="106"/>
    </row>
    <row r="324" spans="6:9" x14ac:dyDescent="0.25">
      <c r="F324" s="106"/>
      <c r="G324" s="106"/>
      <c r="H324" s="106"/>
      <c r="I324" s="106"/>
    </row>
    <row r="325" spans="6:9" x14ac:dyDescent="0.25">
      <c r="F325" s="106"/>
      <c r="G325" s="106"/>
      <c r="H325" s="106"/>
      <c r="I325" s="106"/>
    </row>
    <row r="326" spans="6:9" x14ac:dyDescent="0.25">
      <c r="F326" s="106"/>
      <c r="G326" s="106"/>
      <c r="H326" s="106"/>
      <c r="I326" s="106"/>
    </row>
    <row r="327" spans="6:9" x14ac:dyDescent="0.25">
      <c r="F327" s="106"/>
      <c r="G327" s="106"/>
      <c r="H327" s="106"/>
      <c r="I327" s="106"/>
    </row>
    <row r="328" spans="6:9" x14ac:dyDescent="0.25">
      <c r="F328" s="106"/>
      <c r="G328" s="106"/>
      <c r="H328" s="106"/>
      <c r="I328" s="106"/>
    </row>
    <row r="329" spans="6:9" x14ac:dyDescent="0.25">
      <c r="F329" s="106"/>
      <c r="G329" s="106"/>
      <c r="H329" s="106"/>
      <c r="I329" s="106"/>
    </row>
    <row r="330" spans="6:9" x14ac:dyDescent="0.25">
      <c r="F330" s="106"/>
      <c r="G330" s="106"/>
      <c r="H330" s="106"/>
      <c r="I330" s="106"/>
    </row>
    <row r="331" spans="6:9" x14ac:dyDescent="0.25">
      <c r="F331" s="106"/>
      <c r="G331" s="106"/>
      <c r="H331" s="106"/>
      <c r="I331" s="106"/>
    </row>
    <row r="332" spans="6:9" x14ac:dyDescent="0.25">
      <c r="F332" s="106"/>
      <c r="G332" s="106"/>
      <c r="H332" s="106"/>
      <c r="I332" s="106"/>
    </row>
    <row r="333" spans="6:9" x14ac:dyDescent="0.25">
      <c r="F333" s="106"/>
      <c r="G333" s="106"/>
      <c r="H333" s="106"/>
      <c r="I333" s="106"/>
    </row>
    <row r="334" spans="6:9" x14ac:dyDescent="0.25">
      <c r="F334" s="106"/>
      <c r="G334" s="106"/>
      <c r="H334" s="106"/>
      <c r="I334" s="106"/>
    </row>
    <row r="335" spans="6:9" x14ac:dyDescent="0.25">
      <c r="F335" s="106"/>
      <c r="G335" s="106"/>
      <c r="H335" s="106"/>
      <c r="I335" s="106"/>
    </row>
    <row r="336" spans="6:9" x14ac:dyDescent="0.25">
      <c r="F336" s="106"/>
      <c r="G336" s="106"/>
      <c r="H336" s="106"/>
      <c r="I336" s="106"/>
    </row>
    <row r="337" spans="6:9" x14ac:dyDescent="0.25">
      <c r="F337" s="106"/>
      <c r="G337" s="106"/>
      <c r="H337" s="106"/>
      <c r="I337" s="106"/>
    </row>
    <row r="338" spans="6:9" x14ac:dyDescent="0.25">
      <c r="F338" s="106"/>
      <c r="G338" s="106"/>
      <c r="H338" s="106"/>
      <c r="I338" s="106"/>
    </row>
    <row r="339" spans="6:9" x14ac:dyDescent="0.25">
      <c r="F339" s="106"/>
      <c r="G339" s="106"/>
      <c r="H339" s="106"/>
      <c r="I339" s="106"/>
    </row>
    <row r="340" spans="6:9" x14ac:dyDescent="0.25">
      <c r="F340" s="106"/>
      <c r="G340" s="106"/>
      <c r="H340" s="106"/>
      <c r="I340" s="106"/>
    </row>
    <row r="341" spans="6:9" x14ac:dyDescent="0.25">
      <c r="F341" s="106"/>
      <c r="G341" s="106"/>
      <c r="H341" s="106"/>
      <c r="I341" s="106"/>
    </row>
    <row r="342" spans="6:9" x14ac:dyDescent="0.25">
      <c r="F342" s="106"/>
      <c r="G342" s="106"/>
      <c r="H342" s="106"/>
      <c r="I342" s="106"/>
    </row>
    <row r="343" spans="6:9" x14ac:dyDescent="0.25">
      <c r="F343" s="106"/>
      <c r="G343" s="106"/>
      <c r="H343" s="106"/>
      <c r="I343" s="106"/>
    </row>
    <row r="344" spans="6:9" x14ac:dyDescent="0.25">
      <c r="F344" s="106"/>
      <c r="G344" s="106"/>
      <c r="H344" s="106"/>
      <c r="I344" s="106"/>
    </row>
    <row r="345" spans="6:9" x14ac:dyDescent="0.25">
      <c r="F345" s="106"/>
      <c r="G345" s="106"/>
      <c r="H345" s="106"/>
      <c r="I345" s="106"/>
    </row>
    <row r="346" spans="6:9" x14ac:dyDescent="0.25">
      <c r="F346" s="106"/>
      <c r="G346" s="106"/>
      <c r="H346" s="106"/>
      <c r="I346" s="106"/>
    </row>
    <row r="347" spans="6:9" x14ac:dyDescent="0.25">
      <c r="F347" s="106"/>
      <c r="G347" s="106"/>
      <c r="H347" s="106"/>
      <c r="I347" s="106"/>
    </row>
    <row r="348" spans="6:9" x14ac:dyDescent="0.25">
      <c r="F348" s="106"/>
      <c r="G348" s="106"/>
      <c r="H348" s="106"/>
      <c r="I348" s="106"/>
    </row>
    <row r="349" spans="6:9" x14ac:dyDescent="0.25">
      <c r="F349" s="106"/>
      <c r="G349" s="106"/>
      <c r="H349" s="106"/>
      <c r="I349" s="106"/>
    </row>
    <row r="350" spans="6:9" x14ac:dyDescent="0.25">
      <c r="F350" s="106"/>
      <c r="G350" s="106"/>
      <c r="H350" s="106"/>
      <c r="I350" s="106"/>
    </row>
    <row r="351" spans="6:9" x14ac:dyDescent="0.25">
      <c r="F351" s="106"/>
      <c r="G351" s="106"/>
      <c r="H351" s="106"/>
      <c r="I351" s="106"/>
    </row>
    <row r="352" spans="6:9" x14ac:dyDescent="0.25">
      <c r="F352" s="106"/>
      <c r="G352" s="106"/>
      <c r="H352" s="106"/>
      <c r="I352" s="106"/>
    </row>
    <row r="353" spans="6:9" x14ac:dyDescent="0.25">
      <c r="F353" s="106"/>
      <c r="G353" s="106"/>
      <c r="H353" s="106"/>
      <c r="I353" s="106"/>
    </row>
    <row r="354" spans="6:9" x14ac:dyDescent="0.25">
      <c r="F354" s="106"/>
      <c r="G354" s="106"/>
      <c r="H354" s="106"/>
      <c r="I354" s="106"/>
    </row>
    <row r="355" spans="6:9" x14ac:dyDescent="0.25">
      <c r="F355" s="106"/>
      <c r="G355" s="106"/>
      <c r="H355" s="106"/>
      <c r="I355" s="106"/>
    </row>
    <row r="356" spans="6:9" x14ac:dyDescent="0.25">
      <c r="F356" s="106"/>
      <c r="G356" s="106"/>
      <c r="H356" s="106"/>
      <c r="I356" s="106"/>
    </row>
    <row r="357" spans="6:9" x14ac:dyDescent="0.25">
      <c r="F357" s="106"/>
      <c r="G357" s="106"/>
      <c r="H357" s="106"/>
      <c r="I357" s="106"/>
    </row>
    <row r="358" spans="6:9" x14ac:dyDescent="0.25">
      <c r="F358" s="106"/>
      <c r="G358" s="106"/>
      <c r="H358" s="106"/>
      <c r="I358" s="106"/>
    </row>
    <row r="359" spans="6:9" x14ac:dyDescent="0.25">
      <c r="F359" s="106"/>
      <c r="G359" s="106"/>
      <c r="H359" s="106"/>
      <c r="I359" s="106"/>
    </row>
    <row r="360" spans="6:9" x14ac:dyDescent="0.25">
      <c r="F360" s="106"/>
      <c r="G360" s="106"/>
      <c r="H360" s="106"/>
      <c r="I360" s="106"/>
    </row>
    <row r="361" spans="6:9" x14ac:dyDescent="0.25">
      <c r="F361" s="106"/>
      <c r="G361" s="106"/>
      <c r="H361" s="106"/>
      <c r="I361" s="106"/>
    </row>
    <row r="362" spans="6:9" x14ac:dyDescent="0.25">
      <c r="F362" s="106"/>
      <c r="G362" s="106"/>
      <c r="H362" s="106"/>
      <c r="I362" s="106"/>
    </row>
    <row r="363" spans="6:9" x14ac:dyDescent="0.25">
      <c r="F363" s="106"/>
      <c r="G363" s="106"/>
      <c r="H363" s="106"/>
      <c r="I363" s="106"/>
    </row>
    <row r="364" spans="6:9" x14ac:dyDescent="0.25">
      <c r="F364" s="106"/>
      <c r="G364" s="106"/>
      <c r="H364" s="106"/>
      <c r="I364" s="106"/>
    </row>
    <row r="365" spans="6:9" x14ac:dyDescent="0.25">
      <c r="F365" s="106"/>
      <c r="G365" s="106"/>
      <c r="H365" s="106"/>
      <c r="I365" s="106"/>
    </row>
    <row r="366" spans="6:9" x14ac:dyDescent="0.25">
      <c r="F366" s="106"/>
      <c r="G366" s="106"/>
      <c r="H366" s="106"/>
      <c r="I366" s="106"/>
    </row>
    <row r="367" spans="6:9" x14ac:dyDescent="0.25">
      <c r="F367" s="106"/>
      <c r="G367" s="106"/>
      <c r="H367" s="106"/>
      <c r="I367" s="106"/>
    </row>
    <row r="368" spans="6:9" x14ac:dyDescent="0.25">
      <c r="F368" s="106"/>
      <c r="G368" s="106"/>
      <c r="H368" s="106"/>
      <c r="I368" s="106"/>
    </row>
    <row r="369" spans="6:9" x14ac:dyDescent="0.25">
      <c r="F369" s="106"/>
      <c r="G369" s="106"/>
      <c r="H369" s="106"/>
      <c r="I369" s="106"/>
    </row>
    <row r="370" spans="6:9" x14ac:dyDescent="0.25">
      <c r="F370" s="106"/>
      <c r="G370" s="106"/>
      <c r="H370" s="106"/>
      <c r="I370" s="106"/>
    </row>
    <row r="371" spans="6:9" x14ac:dyDescent="0.25">
      <c r="F371" s="106"/>
      <c r="G371" s="106"/>
      <c r="H371" s="106"/>
      <c r="I371" s="106"/>
    </row>
    <row r="372" spans="6:9" x14ac:dyDescent="0.25">
      <c r="F372" s="106"/>
      <c r="G372" s="106"/>
      <c r="H372" s="106"/>
      <c r="I372" s="106"/>
    </row>
    <row r="373" spans="6:9" x14ac:dyDescent="0.25">
      <c r="F373" s="106"/>
      <c r="G373" s="106"/>
      <c r="H373" s="106"/>
      <c r="I373" s="106"/>
    </row>
    <row r="374" spans="6:9" x14ac:dyDescent="0.25">
      <c r="F374" s="106"/>
      <c r="G374" s="106"/>
      <c r="H374" s="106"/>
      <c r="I374" s="106"/>
    </row>
    <row r="375" spans="6:9" x14ac:dyDescent="0.25">
      <c r="F375" s="106"/>
      <c r="G375" s="106"/>
      <c r="H375" s="106"/>
      <c r="I375" s="106"/>
    </row>
    <row r="376" spans="6:9" x14ac:dyDescent="0.25">
      <c r="F376" s="106"/>
      <c r="G376" s="106"/>
      <c r="H376" s="106"/>
      <c r="I376" s="106"/>
    </row>
    <row r="377" spans="6:9" x14ac:dyDescent="0.25">
      <c r="F377" s="106"/>
      <c r="G377" s="106"/>
      <c r="H377" s="106"/>
      <c r="I377" s="106"/>
    </row>
    <row r="378" spans="6:9" x14ac:dyDescent="0.25">
      <c r="F378" s="106"/>
      <c r="G378" s="106"/>
      <c r="H378" s="106"/>
      <c r="I378" s="106"/>
    </row>
    <row r="379" spans="6:9" x14ac:dyDescent="0.25">
      <c r="F379" s="106"/>
      <c r="G379" s="106"/>
      <c r="H379" s="106"/>
      <c r="I379" s="106"/>
    </row>
    <row r="380" spans="6:9" x14ac:dyDescent="0.25">
      <c r="F380" s="106"/>
      <c r="G380" s="106"/>
      <c r="H380" s="106"/>
      <c r="I380" s="106"/>
    </row>
    <row r="381" spans="6:9" x14ac:dyDescent="0.25">
      <c r="F381" s="106"/>
      <c r="G381" s="106"/>
      <c r="H381" s="106"/>
      <c r="I381" s="106"/>
    </row>
    <row r="382" spans="6:9" x14ac:dyDescent="0.25">
      <c r="F382" s="106"/>
      <c r="G382" s="106"/>
      <c r="H382" s="106"/>
      <c r="I382" s="106"/>
    </row>
    <row r="383" spans="6:9" x14ac:dyDescent="0.25">
      <c r="F383" s="106"/>
      <c r="G383" s="106"/>
      <c r="H383" s="106"/>
      <c r="I383" s="106"/>
    </row>
    <row r="384" spans="6:9" x14ac:dyDescent="0.25">
      <c r="F384" s="106"/>
      <c r="G384" s="106"/>
      <c r="H384" s="106"/>
      <c r="I384" s="106"/>
    </row>
    <row r="385" spans="6:9" x14ac:dyDescent="0.25">
      <c r="F385" s="106"/>
      <c r="G385" s="106"/>
      <c r="H385" s="106"/>
      <c r="I385" s="106"/>
    </row>
    <row r="386" spans="6:9" x14ac:dyDescent="0.25">
      <c r="F386" s="106"/>
      <c r="G386" s="106"/>
      <c r="H386" s="106"/>
      <c r="I386" s="106"/>
    </row>
    <row r="387" spans="6:9" x14ac:dyDescent="0.25">
      <c r="F387" s="106"/>
      <c r="G387" s="106"/>
      <c r="H387" s="106"/>
      <c r="I387" s="106"/>
    </row>
    <row r="388" spans="6:9" x14ac:dyDescent="0.25">
      <c r="F388" s="106"/>
      <c r="G388" s="106"/>
      <c r="H388" s="106"/>
      <c r="I388" s="106"/>
    </row>
    <row r="389" spans="6:9" x14ac:dyDescent="0.25">
      <c r="F389" s="106"/>
      <c r="G389" s="106"/>
      <c r="H389" s="106"/>
      <c r="I389" s="106"/>
    </row>
    <row r="390" spans="6:9" x14ac:dyDescent="0.25">
      <c r="F390" s="106"/>
      <c r="G390" s="106"/>
      <c r="H390" s="106"/>
      <c r="I390" s="106"/>
    </row>
    <row r="391" spans="6:9" x14ac:dyDescent="0.25">
      <c r="F391" s="106"/>
      <c r="G391" s="106"/>
      <c r="H391" s="106"/>
      <c r="I391" s="106"/>
    </row>
    <row r="392" spans="6:9" x14ac:dyDescent="0.25">
      <c r="F392" s="106"/>
      <c r="G392" s="106"/>
      <c r="H392" s="106"/>
      <c r="I392" s="106"/>
    </row>
    <row r="393" spans="6:9" x14ac:dyDescent="0.25">
      <c r="F393" s="106"/>
      <c r="G393" s="106"/>
      <c r="H393" s="106"/>
      <c r="I393" s="106"/>
    </row>
    <row r="394" spans="6:9" x14ac:dyDescent="0.25">
      <c r="F394" s="106"/>
      <c r="G394" s="106"/>
      <c r="H394" s="106"/>
      <c r="I394" s="106"/>
    </row>
    <row r="395" spans="6:9" x14ac:dyDescent="0.25">
      <c r="F395" s="106"/>
      <c r="G395" s="106"/>
      <c r="H395" s="106"/>
      <c r="I395" s="106"/>
    </row>
    <row r="396" spans="6:9" x14ac:dyDescent="0.25">
      <c r="F396" s="106"/>
      <c r="G396" s="106"/>
      <c r="H396" s="106"/>
      <c r="I396" s="106"/>
    </row>
    <row r="397" spans="6:9" x14ac:dyDescent="0.25">
      <c r="F397" s="106"/>
      <c r="G397" s="106"/>
      <c r="H397" s="106"/>
      <c r="I397" s="106"/>
    </row>
    <row r="398" spans="6:9" x14ac:dyDescent="0.25">
      <c r="F398" s="106"/>
      <c r="G398" s="106"/>
      <c r="H398" s="106"/>
      <c r="I398" s="106"/>
    </row>
    <row r="399" spans="6:9" x14ac:dyDescent="0.25">
      <c r="F399" s="106"/>
      <c r="G399" s="106"/>
      <c r="H399" s="106"/>
      <c r="I399" s="106"/>
    </row>
    <row r="400" spans="6:9" x14ac:dyDescent="0.25">
      <c r="F400" s="106"/>
      <c r="G400" s="106"/>
      <c r="H400" s="106"/>
      <c r="I400" s="106"/>
    </row>
    <row r="401" spans="6:9" x14ac:dyDescent="0.25">
      <c r="F401" s="106"/>
      <c r="G401" s="106"/>
      <c r="H401" s="106"/>
      <c r="I401" s="106"/>
    </row>
    <row r="402" spans="6:9" x14ac:dyDescent="0.25">
      <c r="F402" s="106"/>
      <c r="G402" s="106"/>
      <c r="H402" s="106"/>
      <c r="I402" s="106"/>
    </row>
    <row r="403" spans="6:9" x14ac:dyDescent="0.25">
      <c r="F403" s="106"/>
      <c r="G403" s="106"/>
      <c r="H403" s="106"/>
      <c r="I403" s="106"/>
    </row>
    <row r="404" spans="6:9" x14ac:dyDescent="0.25">
      <c r="F404" s="106"/>
      <c r="G404" s="106"/>
      <c r="H404" s="106"/>
      <c r="I404" s="106"/>
    </row>
    <row r="405" spans="6:9" x14ac:dyDescent="0.25">
      <c r="F405" s="106"/>
      <c r="G405" s="106"/>
      <c r="H405" s="106"/>
      <c r="I405" s="106"/>
    </row>
    <row r="406" spans="6:9" x14ac:dyDescent="0.25">
      <c r="F406" s="106"/>
      <c r="G406" s="106"/>
      <c r="H406" s="106"/>
      <c r="I406" s="106"/>
    </row>
    <row r="407" spans="6:9" x14ac:dyDescent="0.25">
      <c r="F407" s="106"/>
      <c r="G407" s="106"/>
      <c r="H407" s="106"/>
      <c r="I407" s="106"/>
    </row>
    <row r="408" spans="6:9" x14ac:dyDescent="0.25">
      <c r="F408" s="106"/>
      <c r="G408" s="106"/>
      <c r="H408" s="106"/>
      <c r="I408" s="106"/>
    </row>
    <row r="409" spans="6:9" x14ac:dyDescent="0.25">
      <c r="F409" s="106"/>
      <c r="G409" s="106"/>
      <c r="H409" s="106"/>
      <c r="I409" s="106"/>
    </row>
    <row r="410" spans="6:9" x14ac:dyDescent="0.25">
      <c r="F410" s="106"/>
      <c r="G410" s="106"/>
      <c r="H410" s="106"/>
      <c r="I410" s="106"/>
    </row>
    <row r="411" spans="6:9" x14ac:dyDescent="0.25">
      <c r="F411" s="106"/>
      <c r="G411" s="106"/>
      <c r="H411" s="106"/>
      <c r="I411" s="106"/>
    </row>
    <row r="412" spans="6:9" x14ac:dyDescent="0.25">
      <c r="F412" s="106"/>
      <c r="G412" s="106"/>
      <c r="H412" s="106"/>
      <c r="I412" s="106"/>
    </row>
    <row r="413" spans="6:9" x14ac:dyDescent="0.25">
      <c r="F413" s="106"/>
      <c r="G413" s="106"/>
      <c r="H413" s="106"/>
      <c r="I413" s="106"/>
    </row>
    <row r="414" spans="6:9" x14ac:dyDescent="0.25">
      <c r="F414" s="106"/>
      <c r="G414" s="106"/>
      <c r="H414" s="106"/>
      <c r="I414" s="106"/>
    </row>
    <row r="415" spans="6:9" x14ac:dyDescent="0.25">
      <c r="F415" s="106"/>
      <c r="G415" s="106"/>
      <c r="H415" s="106"/>
      <c r="I415" s="106"/>
    </row>
    <row r="416" spans="6:9" x14ac:dyDescent="0.25">
      <c r="F416" s="106"/>
      <c r="G416" s="106"/>
      <c r="H416" s="106"/>
      <c r="I416" s="106"/>
    </row>
    <row r="417" spans="6:9" x14ac:dyDescent="0.25">
      <c r="F417" s="106"/>
      <c r="G417" s="106"/>
      <c r="H417" s="106"/>
      <c r="I417" s="106"/>
    </row>
    <row r="418" spans="6:9" x14ac:dyDescent="0.25">
      <c r="F418" s="106"/>
      <c r="G418" s="106"/>
      <c r="H418" s="106"/>
      <c r="I418" s="106"/>
    </row>
    <row r="419" spans="6:9" x14ac:dyDescent="0.25">
      <c r="F419" s="106"/>
      <c r="G419" s="106"/>
      <c r="H419" s="106"/>
      <c r="I419" s="106"/>
    </row>
    <row r="420" spans="6:9" x14ac:dyDescent="0.25">
      <c r="F420" s="106"/>
      <c r="G420" s="106"/>
      <c r="H420" s="106"/>
      <c r="I420" s="106"/>
    </row>
    <row r="421" spans="6:9" x14ac:dyDescent="0.25">
      <c r="F421" s="106"/>
      <c r="G421" s="106"/>
      <c r="H421" s="106"/>
      <c r="I421" s="106"/>
    </row>
    <row r="422" spans="6:9" x14ac:dyDescent="0.25">
      <c r="F422" s="106"/>
      <c r="G422" s="106"/>
      <c r="H422" s="106"/>
      <c r="I422" s="106"/>
    </row>
    <row r="423" spans="6:9" x14ac:dyDescent="0.25">
      <c r="F423" s="106"/>
      <c r="G423" s="106"/>
      <c r="H423" s="106"/>
      <c r="I423" s="106"/>
    </row>
    <row r="424" spans="6:9" x14ac:dyDescent="0.25">
      <c r="F424" s="106"/>
      <c r="G424" s="106"/>
      <c r="H424" s="106"/>
      <c r="I424" s="106"/>
    </row>
    <row r="425" spans="6:9" x14ac:dyDescent="0.25">
      <c r="F425" s="106"/>
      <c r="G425" s="106"/>
      <c r="H425" s="106"/>
      <c r="I425" s="106"/>
    </row>
    <row r="426" spans="6:9" x14ac:dyDescent="0.25">
      <c r="F426" s="106"/>
      <c r="G426" s="106"/>
      <c r="H426" s="106"/>
      <c r="I426" s="106"/>
    </row>
    <row r="427" spans="6:9" x14ac:dyDescent="0.25">
      <c r="F427" s="106"/>
      <c r="G427" s="106"/>
      <c r="H427" s="106"/>
      <c r="I427" s="106"/>
    </row>
    <row r="428" spans="6:9" x14ac:dyDescent="0.25">
      <c r="F428" s="106"/>
      <c r="G428" s="106"/>
      <c r="H428" s="106"/>
      <c r="I428" s="106"/>
    </row>
    <row r="429" spans="6:9" x14ac:dyDescent="0.25">
      <c r="F429" s="106"/>
      <c r="G429" s="106"/>
      <c r="H429" s="106"/>
      <c r="I429" s="106"/>
    </row>
    <row r="430" spans="6:9" x14ac:dyDescent="0.25">
      <c r="F430" s="106"/>
      <c r="G430" s="106"/>
      <c r="H430" s="106"/>
      <c r="I430" s="106"/>
    </row>
    <row r="431" spans="6:9" x14ac:dyDescent="0.25">
      <c r="F431" s="106"/>
      <c r="G431" s="106"/>
      <c r="H431" s="106"/>
      <c r="I431" s="106"/>
    </row>
    <row r="432" spans="6:9" x14ac:dyDescent="0.25">
      <c r="F432" s="106"/>
      <c r="G432" s="106"/>
      <c r="H432" s="106"/>
      <c r="I432" s="106"/>
    </row>
    <row r="433" spans="6:9" x14ac:dyDescent="0.25">
      <c r="F433" s="106"/>
      <c r="G433" s="106"/>
      <c r="H433" s="106"/>
      <c r="I433" s="106"/>
    </row>
    <row r="434" spans="6:9" x14ac:dyDescent="0.25">
      <c r="F434" s="106"/>
      <c r="G434" s="106"/>
      <c r="H434" s="106"/>
      <c r="I434" s="106"/>
    </row>
    <row r="435" spans="6:9" x14ac:dyDescent="0.25">
      <c r="F435" s="106"/>
      <c r="G435" s="106"/>
      <c r="H435" s="106"/>
      <c r="I435" s="106"/>
    </row>
    <row r="436" spans="6:9" x14ac:dyDescent="0.25">
      <c r="F436" s="106"/>
      <c r="G436" s="106"/>
      <c r="H436" s="106"/>
      <c r="I436" s="106"/>
    </row>
    <row r="437" spans="6:9" x14ac:dyDescent="0.25">
      <c r="F437" s="106"/>
      <c r="G437" s="106"/>
      <c r="H437" s="106"/>
      <c r="I437" s="106"/>
    </row>
    <row r="438" spans="6:9" x14ac:dyDescent="0.25">
      <c r="F438" s="106"/>
      <c r="G438" s="106"/>
      <c r="H438" s="106"/>
      <c r="I438" s="106"/>
    </row>
    <row r="439" spans="6:9" x14ac:dyDescent="0.25">
      <c r="F439" s="106"/>
      <c r="G439" s="106"/>
      <c r="H439" s="106"/>
      <c r="I439" s="106"/>
    </row>
    <row r="440" spans="6:9" x14ac:dyDescent="0.25">
      <c r="F440" s="106"/>
      <c r="G440" s="106"/>
      <c r="H440" s="106"/>
      <c r="I440" s="106"/>
    </row>
    <row r="441" spans="6:9" x14ac:dyDescent="0.25">
      <c r="F441" s="106"/>
      <c r="G441" s="106"/>
      <c r="H441" s="106"/>
      <c r="I441" s="106"/>
    </row>
    <row r="442" spans="6:9" x14ac:dyDescent="0.25">
      <c r="F442" s="106"/>
      <c r="G442" s="106"/>
      <c r="H442" s="106"/>
      <c r="I442" s="106"/>
    </row>
    <row r="443" spans="6:9" x14ac:dyDescent="0.25">
      <c r="F443" s="106"/>
      <c r="G443" s="106"/>
      <c r="H443" s="106"/>
      <c r="I443" s="106"/>
    </row>
    <row r="444" spans="6:9" x14ac:dyDescent="0.25">
      <c r="F444" s="106"/>
      <c r="G444" s="106"/>
      <c r="H444" s="106"/>
      <c r="I444" s="106"/>
    </row>
    <row r="445" spans="6:9" x14ac:dyDescent="0.25">
      <c r="F445" s="106"/>
      <c r="G445" s="106"/>
      <c r="H445" s="106"/>
      <c r="I445" s="106"/>
    </row>
    <row r="446" spans="6:9" x14ac:dyDescent="0.25">
      <c r="F446" s="106"/>
      <c r="G446" s="106"/>
      <c r="H446" s="106"/>
      <c r="I446" s="106"/>
    </row>
    <row r="447" spans="6:9" x14ac:dyDescent="0.25">
      <c r="F447" s="106"/>
      <c r="G447" s="106"/>
      <c r="H447" s="106"/>
      <c r="I447" s="106"/>
    </row>
    <row r="448" spans="6:9" x14ac:dyDescent="0.25">
      <c r="F448" s="106"/>
      <c r="G448" s="106"/>
      <c r="H448" s="106"/>
      <c r="I448" s="106"/>
    </row>
    <row r="449" spans="6:9" x14ac:dyDescent="0.25">
      <c r="F449" s="106"/>
      <c r="G449" s="106"/>
      <c r="H449" s="106"/>
      <c r="I449" s="106"/>
    </row>
    <row r="450" spans="6:9" x14ac:dyDescent="0.25">
      <c r="F450" s="106"/>
      <c r="G450" s="106"/>
      <c r="H450" s="106"/>
      <c r="I450" s="106"/>
    </row>
    <row r="451" spans="6:9" x14ac:dyDescent="0.25">
      <c r="F451" s="106"/>
      <c r="G451" s="106"/>
      <c r="H451" s="106"/>
      <c r="I451" s="106"/>
    </row>
    <row r="452" spans="6:9" x14ac:dyDescent="0.25">
      <c r="F452" s="106"/>
      <c r="G452" s="106"/>
      <c r="H452" s="106"/>
      <c r="I452" s="106"/>
    </row>
    <row r="453" spans="6:9" x14ac:dyDescent="0.25">
      <c r="F453" s="106"/>
      <c r="G453" s="106"/>
      <c r="H453" s="106"/>
      <c r="I453" s="106"/>
    </row>
    <row r="454" spans="6:9" x14ac:dyDescent="0.25">
      <c r="F454" s="106"/>
      <c r="G454" s="106"/>
      <c r="H454" s="106"/>
      <c r="I454" s="106"/>
    </row>
    <row r="455" spans="6:9" x14ac:dyDescent="0.25">
      <c r="F455" s="106"/>
      <c r="G455" s="106"/>
      <c r="H455" s="106"/>
      <c r="I455" s="106"/>
    </row>
    <row r="456" spans="6:9" x14ac:dyDescent="0.25">
      <c r="F456" s="106"/>
      <c r="G456" s="106"/>
      <c r="H456" s="106"/>
      <c r="I456" s="106"/>
    </row>
    <row r="457" spans="6:9" x14ac:dyDescent="0.25">
      <c r="F457" s="106"/>
      <c r="G457" s="106"/>
      <c r="H457" s="106"/>
      <c r="I457" s="106"/>
    </row>
    <row r="458" spans="6:9" x14ac:dyDescent="0.25">
      <c r="F458" s="106"/>
      <c r="G458" s="106"/>
      <c r="H458" s="106"/>
      <c r="I458" s="106"/>
    </row>
    <row r="459" spans="6:9" x14ac:dyDescent="0.25">
      <c r="F459" s="106"/>
      <c r="G459" s="106"/>
      <c r="H459" s="106"/>
      <c r="I459" s="106"/>
    </row>
    <row r="460" spans="6:9" x14ac:dyDescent="0.25">
      <c r="F460" s="106"/>
      <c r="G460" s="106"/>
      <c r="H460" s="106"/>
      <c r="I460" s="106"/>
    </row>
    <row r="461" spans="6:9" x14ac:dyDescent="0.25">
      <c r="F461" s="106"/>
      <c r="G461" s="106"/>
      <c r="H461" s="106"/>
      <c r="I461" s="106"/>
    </row>
    <row r="462" spans="6:9" x14ac:dyDescent="0.25">
      <c r="F462" s="106"/>
      <c r="G462" s="106"/>
      <c r="H462" s="106"/>
      <c r="I462" s="106"/>
    </row>
    <row r="463" spans="6:9" x14ac:dyDescent="0.25">
      <c r="F463" s="106"/>
      <c r="G463" s="106"/>
      <c r="H463" s="106"/>
      <c r="I463" s="106"/>
    </row>
    <row r="464" spans="6:9" x14ac:dyDescent="0.25">
      <c r="F464" s="106"/>
      <c r="G464" s="106"/>
      <c r="H464" s="106"/>
      <c r="I464" s="106"/>
    </row>
    <row r="465" spans="6:9" x14ac:dyDescent="0.25">
      <c r="F465" s="106"/>
      <c r="G465" s="106"/>
      <c r="H465" s="106"/>
      <c r="I465" s="106"/>
    </row>
    <row r="466" spans="6:9" x14ac:dyDescent="0.25">
      <c r="F466" s="106"/>
      <c r="G466" s="106"/>
      <c r="H466" s="106"/>
      <c r="I466" s="106"/>
    </row>
    <row r="467" spans="6:9" x14ac:dyDescent="0.25">
      <c r="F467" s="106"/>
      <c r="G467" s="106"/>
      <c r="H467" s="106"/>
      <c r="I467" s="106"/>
    </row>
    <row r="468" spans="6:9" x14ac:dyDescent="0.25">
      <c r="F468" s="106"/>
      <c r="G468" s="106"/>
      <c r="H468" s="106"/>
      <c r="I468" s="106"/>
    </row>
    <row r="469" spans="6:9" x14ac:dyDescent="0.25">
      <c r="F469" s="106"/>
      <c r="G469" s="106"/>
      <c r="H469" s="106"/>
      <c r="I469" s="106"/>
    </row>
    <row r="470" spans="6:9" x14ac:dyDescent="0.25">
      <c r="F470" s="106"/>
      <c r="G470" s="106"/>
      <c r="H470" s="106"/>
      <c r="I470" s="106"/>
    </row>
    <row r="471" spans="6:9" x14ac:dyDescent="0.25">
      <c r="F471" s="106"/>
      <c r="G471" s="106"/>
      <c r="H471" s="106"/>
      <c r="I471" s="106"/>
    </row>
    <row r="472" spans="6:9" x14ac:dyDescent="0.25">
      <c r="F472" s="106"/>
      <c r="G472" s="106"/>
      <c r="H472" s="106"/>
      <c r="I472" s="106"/>
    </row>
    <row r="473" spans="6:9" x14ac:dyDescent="0.25">
      <c r="F473" s="106"/>
      <c r="G473" s="106"/>
      <c r="H473" s="106"/>
      <c r="I473" s="106"/>
    </row>
    <row r="474" spans="6:9" x14ac:dyDescent="0.25">
      <c r="F474" s="106"/>
      <c r="G474" s="106"/>
      <c r="H474" s="106"/>
      <c r="I474" s="106"/>
    </row>
    <row r="475" spans="6:9" x14ac:dyDescent="0.25">
      <c r="F475" s="106"/>
      <c r="G475" s="106"/>
      <c r="H475" s="106"/>
      <c r="I475" s="106"/>
    </row>
    <row r="476" spans="6:9" x14ac:dyDescent="0.25">
      <c r="F476" s="106"/>
      <c r="G476" s="106"/>
      <c r="H476" s="106"/>
      <c r="I476" s="106"/>
    </row>
    <row r="477" spans="6:9" x14ac:dyDescent="0.25">
      <c r="F477" s="106"/>
      <c r="G477" s="106"/>
      <c r="H477" s="106"/>
      <c r="I477" s="106"/>
    </row>
    <row r="478" spans="6:9" x14ac:dyDescent="0.25">
      <c r="F478" s="106"/>
      <c r="G478" s="106"/>
      <c r="H478" s="106"/>
      <c r="I478" s="106"/>
    </row>
    <row r="479" spans="6:9" x14ac:dyDescent="0.25">
      <c r="F479" s="106"/>
      <c r="G479" s="106"/>
      <c r="H479" s="106"/>
      <c r="I479" s="106"/>
    </row>
    <row r="480" spans="6:9" x14ac:dyDescent="0.25">
      <c r="F480" s="106"/>
      <c r="G480" s="106"/>
      <c r="H480" s="106"/>
      <c r="I480" s="106"/>
    </row>
    <row r="481" spans="6:9" x14ac:dyDescent="0.25">
      <c r="F481" s="106"/>
      <c r="G481" s="106"/>
      <c r="H481" s="106"/>
      <c r="I481" s="106"/>
    </row>
    <row r="482" spans="6:9" x14ac:dyDescent="0.25">
      <c r="F482" s="106"/>
      <c r="G482" s="106"/>
      <c r="H482" s="106"/>
      <c r="I482" s="106"/>
    </row>
    <row r="483" spans="6:9" x14ac:dyDescent="0.25">
      <c r="F483" s="106"/>
      <c r="G483" s="106"/>
      <c r="H483" s="106"/>
      <c r="I483" s="106"/>
    </row>
    <row r="484" spans="6:9" x14ac:dyDescent="0.25">
      <c r="F484" s="106"/>
      <c r="G484" s="106"/>
      <c r="H484" s="106"/>
      <c r="I484" s="106"/>
    </row>
    <row r="485" spans="6:9" x14ac:dyDescent="0.25">
      <c r="F485" s="106"/>
      <c r="G485" s="106"/>
      <c r="H485" s="106"/>
      <c r="I485" s="106"/>
    </row>
    <row r="486" spans="6:9" x14ac:dyDescent="0.25">
      <c r="F486" s="106"/>
      <c r="G486" s="106"/>
      <c r="H486" s="106"/>
      <c r="I486" s="106"/>
    </row>
    <row r="487" spans="6:9" x14ac:dyDescent="0.25">
      <c r="F487" s="106"/>
      <c r="G487" s="106"/>
      <c r="H487" s="106"/>
      <c r="I487" s="106"/>
    </row>
    <row r="488" spans="6:9" x14ac:dyDescent="0.25">
      <c r="F488" s="106"/>
      <c r="G488" s="106"/>
      <c r="H488" s="106"/>
      <c r="I488" s="106"/>
    </row>
    <row r="489" spans="6:9" x14ac:dyDescent="0.25">
      <c r="F489" s="106"/>
      <c r="G489" s="106"/>
      <c r="H489" s="106"/>
      <c r="I489" s="106"/>
    </row>
    <row r="490" spans="6:9" x14ac:dyDescent="0.25">
      <c r="F490" s="106"/>
      <c r="G490" s="106"/>
      <c r="H490" s="106"/>
      <c r="I490" s="106"/>
    </row>
    <row r="491" spans="6:9" x14ac:dyDescent="0.25">
      <c r="F491" s="106"/>
      <c r="G491" s="106"/>
      <c r="H491" s="106"/>
      <c r="I491" s="106"/>
    </row>
    <row r="492" spans="6:9" x14ac:dyDescent="0.25">
      <c r="F492" s="106"/>
      <c r="G492" s="106"/>
      <c r="H492" s="106"/>
      <c r="I492" s="106"/>
    </row>
    <row r="493" spans="6:9" x14ac:dyDescent="0.25">
      <c r="F493" s="106"/>
      <c r="G493" s="106"/>
      <c r="H493" s="106"/>
      <c r="I493" s="106"/>
    </row>
    <row r="494" spans="6:9" x14ac:dyDescent="0.25">
      <c r="F494" s="106"/>
      <c r="G494" s="106"/>
      <c r="H494" s="106"/>
      <c r="I494" s="106"/>
    </row>
    <row r="495" spans="6:9" x14ac:dyDescent="0.25">
      <c r="F495" s="106"/>
      <c r="G495" s="106"/>
      <c r="H495" s="106"/>
      <c r="I495" s="106"/>
    </row>
    <row r="496" spans="6:9" x14ac:dyDescent="0.25">
      <c r="F496" s="106"/>
      <c r="G496" s="106"/>
      <c r="H496" s="106"/>
      <c r="I496" s="106"/>
    </row>
    <row r="497" spans="6:9" x14ac:dyDescent="0.25">
      <c r="F497" s="106"/>
      <c r="G497" s="106"/>
      <c r="H497" s="106"/>
      <c r="I497" s="106"/>
    </row>
    <row r="498" spans="6:9" x14ac:dyDescent="0.25">
      <c r="F498" s="106"/>
      <c r="G498" s="106"/>
      <c r="H498" s="106"/>
      <c r="I498" s="106"/>
    </row>
    <row r="499" spans="6:9" x14ac:dyDescent="0.25">
      <c r="F499" s="106"/>
      <c r="G499" s="106"/>
      <c r="H499" s="106"/>
      <c r="I499" s="106"/>
    </row>
    <row r="500" spans="6:9" x14ac:dyDescent="0.25">
      <c r="F500" s="106"/>
      <c r="G500" s="106"/>
      <c r="H500" s="106"/>
      <c r="I500" s="106"/>
    </row>
    <row r="501" spans="6:9" x14ac:dyDescent="0.25">
      <c r="F501" s="106"/>
      <c r="G501" s="106"/>
      <c r="H501" s="106"/>
      <c r="I501" s="106"/>
    </row>
    <row r="502" spans="6:9" x14ac:dyDescent="0.25">
      <c r="F502" s="106"/>
      <c r="G502" s="106"/>
      <c r="H502" s="106"/>
      <c r="I502" s="106"/>
    </row>
    <row r="503" spans="6:9" x14ac:dyDescent="0.25">
      <c r="F503" s="106"/>
      <c r="G503" s="106"/>
      <c r="H503" s="106"/>
      <c r="I503" s="106"/>
    </row>
    <row r="504" spans="6:9" x14ac:dyDescent="0.25">
      <c r="F504" s="106"/>
      <c r="G504" s="106"/>
      <c r="H504" s="106"/>
      <c r="I504" s="106"/>
    </row>
    <row r="505" spans="6:9" x14ac:dyDescent="0.25">
      <c r="F505" s="106"/>
      <c r="G505" s="106"/>
      <c r="H505" s="106"/>
      <c r="I505" s="106"/>
    </row>
    <row r="506" spans="6:9" x14ac:dyDescent="0.25">
      <c r="F506" s="106"/>
      <c r="G506" s="106"/>
      <c r="H506" s="106"/>
      <c r="I506" s="106"/>
    </row>
    <row r="507" spans="6:9" x14ac:dyDescent="0.25">
      <c r="F507" s="106"/>
      <c r="G507" s="106"/>
      <c r="H507" s="106"/>
      <c r="I507" s="106"/>
    </row>
    <row r="508" spans="6:9" x14ac:dyDescent="0.25">
      <c r="F508" s="106"/>
      <c r="G508" s="106"/>
      <c r="H508" s="106"/>
      <c r="I508" s="106"/>
    </row>
    <row r="509" spans="6:9" x14ac:dyDescent="0.25">
      <c r="F509" s="106"/>
      <c r="G509" s="106"/>
      <c r="H509" s="106"/>
      <c r="I509" s="106"/>
    </row>
    <row r="510" spans="6:9" x14ac:dyDescent="0.25">
      <c r="F510" s="106"/>
      <c r="G510" s="106"/>
      <c r="H510" s="106"/>
      <c r="I510" s="106"/>
    </row>
    <row r="511" spans="6:9" x14ac:dyDescent="0.25">
      <c r="F511" s="106"/>
      <c r="G511" s="106"/>
      <c r="H511" s="106"/>
      <c r="I511" s="106"/>
    </row>
    <row r="512" spans="6:9" x14ac:dyDescent="0.25">
      <c r="F512" s="106"/>
      <c r="G512" s="106"/>
      <c r="H512" s="106"/>
      <c r="I512" s="106"/>
    </row>
    <row r="513" spans="6:9" x14ac:dyDescent="0.25">
      <c r="F513" s="106"/>
      <c r="G513" s="106"/>
      <c r="H513" s="106"/>
      <c r="I513" s="106"/>
    </row>
    <row r="514" spans="6:9" x14ac:dyDescent="0.25">
      <c r="F514" s="106"/>
      <c r="G514" s="106"/>
      <c r="H514" s="106"/>
      <c r="I514" s="106"/>
    </row>
    <row r="515" spans="6:9" x14ac:dyDescent="0.25">
      <c r="F515" s="106"/>
      <c r="G515" s="106"/>
      <c r="H515" s="106"/>
      <c r="I515" s="106"/>
    </row>
    <row r="516" spans="6:9" x14ac:dyDescent="0.25">
      <c r="F516" s="106"/>
      <c r="G516" s="106"/>
      <c r="H516" s="106"/>
      <c r="I516" s="106"/>
    </row>
    <row r="517" spans="6:9" x14ac:dyDescent="0.25">
      <c r="F517" s="106"/>
      <c r="G517" s="106"/>
      <c r="H517" s="106"/>
      <c r="I517" s="106"/>
    </row>
    <row r="518" spans="6:9" x14ac:dyDescent="0.25">
      <c r="F518" s="106"/>
      <c r="G518" s="106"/>
      <c r="H518" s="106"/>
      <c r="I518" s="106"/>
    </row>
    <row r="519" spans="6:9" x14ac:dyDescent="0.25">
      <c r="F519" s="106"/>
      <c r="G519" s="106"/>
      <c r="H519" s="106"/>
      <c r="I519" s="106"/>
    </row>
    <row r="520" spans="6:9" x14ac:dyDescent="0.25">
      <c r="F520" s="106"/>
      <c r="G520" s="106"/>
      <c r="H520" s="106"/>
      <c r="I520" s="106"/>
    </row>
    <row r="521" spans="6:9" x14ac:dyDescent="0.25">
      <c r="F521" s="106"/>
      <c r="G521" s="106"/>
      <c r="H521" s="106"/>
      <c r="I521" s="106"/>
    </row>
    <row r="522" spans="6:9" x14ac:dyDescent="0.25">
      <c r="F522" s="106"/>
      <c r="G522" s="106"/>
      <c r="H522" s="106"/>
      <c r="I522" s="106"/>
    </row>
    <row r="523" spans="6:9" x14ac:dyDescent="0.25">
      <c r="F523" s="106"/>
      <c r="G523" s="106"/>
      <c r="H523" s="106"/>
      <c r="I523" s="106"/>
    </row>
    <row r="524" spans="6:9" x14ac:dyDescent="0.25">
      <c r="F524" s="106"/>
      <c r="G524" s="106"/>
      <c r="H524" s="106"/>
      <c r="I524" s="106"/>
    </row>
    <row r="525" spans="6:9" x14ac:dyDescent="0.25">
      <c r="F525" s="106"/>
      <c r="G525" s="106"/>
      <c r="H525" s="106"/>
      <c r="I525" s="106"/>
    </row>
    <row r="526" spans="6:9" x14ac:dyDescent="0.25">
      <c r="F526" s="106"/>
      <c r="G526" s="106"/>
      <c r="H526" s="106"/>
      <c r="I526" s="106"/>
    </row>
    <row r="527" spans="6:9" x14ac:dyDescent="0.25">
      <c r="F527" s="106"/>
      <c r="G527" s="106"/>
      <c r="H527" s="106"/>
      <c r="I527" s="106"/>
    </row>
    <row r="528" spans="6:9" x14ac:dyDescent="0.25">
      <c r="F528" s="106"/>
      <c r="G528" s="106"/>
      <c r="H528" s="106"/>
      <c r="I528" s="106"/>
    </row>
    <row r="529" spans="6:9" x14ac:dyDescent="0.25">
      <c r="F529" s="106"/>
      <c r="G529" s="106"/>
      <c r="H529" s="106"/>
      <c r="I529" s="106"/>
    </row>
    <row r="530" spans="6:9" x14ac:dyDescent="0.25">
      <c r="F530" s="106"/>
      <c r="G530" s="106"/>
      <c r="H530" s="106"/>
      <c r="I530" s="106"/>
    </row>
    <row r="531" spans="6:9" x14ac:dyDescent="0.25">
      <c r="F531" s="106"/>
      <c r="G531" s="106"/>
      <c r="H531" s="106"/>
      <c r="I531" s="106"/>
    </row>
    <row r="532" spans="6:9" x14ac:dyDescent="0.25">
      <c r="F532" s="106"/>
      <c r="G532" s="106"/>
      <c r="H532" s="106"/>
      <c r="I532" s="106"/>
    </row>
    <row r="533" spans="6:9" x14ac:dyDescent="0.25">
      <c r="F533" s="106"/>
      <c r="G533" s="106"/>
      <c r="H533" s="106"/>
      <c r="I533" s="106"/>
    </row>
    <row r="534" spans="6:9" x14ac:dyDescent="0.25">
      <c r="F534" s="106"/>
      <c r="G534" s="106"/>
      <c r="H534" s="106"/>
      <c r="I534" s="106"/>
    </row>
    <row r="535" spans="6:9" x14ac:dyDescent="0.25">
      <c r="F535" s="106"/>
      <c r="G535" s="106"/>
      <c r="H535" s="106"/>
      <c r="I535" s="106"/>
    </row>
    <row r="536" spans="6:9" x14ac:dyDescent="0.25">
      <c r="F536" s="106"/>
      <c r="G536" s="106"/>
      <c r="H536" s="106"/>
      <c r="I536" s="106"/>
    </row>
    <row r="537" spans="6:9" x14ac:dyDescent="0.25">
      <c r="F537" s="106"/>
      <c r="G537" s="106"/>
      <c r="H537" s="106"/>
      <c r="I537" s="106"/>
    </row>
    <row r="538" spans="6:9" x14ac:dyDescent="0.25">
      <c r="F538" s="106"/>
      <c r="G538" s="106"/>
      <c r="H538" s="106"/>
      <c r="I538" s="106"/>
    </row>
    <row r="539" spans="6:9" x14ac:dyDescent="0.25">
      <c r="F539" s="106"/>
      <c r="G539" s="106"/>
      <c r="H539" s="106"/>
      <c r="I539" s="106"/>
    </row>
    <row r="540" spans="6:9" x14ac:dyDescent="0.25">
      <c r="F540" s="106"/>
      <c r="G540" s="106"/>
      <c r="H540" s="106"/>
      <c r="I540" s="106"/>
    </row>
    <row r="541" spans="6:9" x14ac:dyDescent="0.25">
      <c r="F541" s="106"/>
      <c r="G541" s="106"/>
      <c r="H541" s="106"/>
      <c r="I541" s="106"/>
    </row>
    <row r="542" spans="6:9" x14ac:dyDescent="0.25">
      <c r="F542" s="106"/>
      <c r="G542" s="106"/>
      <c r="H542" s="106"/>
      <c r="I542" s="106"/>
    </row>
    <row r="543" spans="6:9" x14ac:dyDescent="0.25">
      <c r="F543" s="106"/>
      <c r="G543" s="106"/>
      <c r="H543" s="106"/>
      <c r="I543" s="106"/>
    </row>
    <row r="544" spans="6:9" x14ac:dyDescent="0.25">
      <c r="F544" s="106"/>
      <c r="G544" s="106"/>
      <c r="H544" s="106"/>
      <c r="I544" s="106"/>
    </row>
    <row r="545" spans="6:9" x14ac:dyDescent="0.25">
      <c r="F545" s="106"/>
      <c r="G545" s="106"/>
      <c r="H545" s="106"/>
      <c r="I545" s="106"/>
    </row>
    <row r="546" spans="6:9" x14ac:dyDescent="0.25">
      <c r="F546" s="106"/>
      <c r="G546" s="106"/>
      <c r="H546" s="106"/>
      <c r="I546" s="106"/>
    </row>
    <row r="547" spans="6:9" x14ac:dyDescent="0.25">
      <c r="F547" s="106"/>
      <c r="G547" s="106"/>
      <c r="H547" s="106"/>
      <c r="I547" s="106"/>
    </row>
    <row r="548" spans="6:9" x14ac:dyDescent="0.25">
      <c r="F548" s="106"/>
      <c r="G548" s="106"/>
      <c r="H548" s="106"/>
      <c r="I548" s="106"/>
    </row>
    <row r="549" spans="6:9" x14ac:dyDescent="0.25">
      <c r="F549" s="106"/>
      <c r="G549" s="106"/>
      <c r="H549" s="106"/>
      <c r="I549" s="106"/>
    </row>
    <row r="550" spans="6:9" x14ac:dyDescent="0.25">
      <c r="F550" s="106"/>
      <c r="G550" s="106"/>
      <c r="H550" s="106"/>
      <c r="I550" s="106"/>
    </row>
    <row r="551" spans="6:9" x14ac:dyDescent="0.25">
      <c r="F551" s="106"/>
      <c r="G551" s="106"/>
      <c r="H551" s="106"/>
      <c r="I551" s="106"/>
    </row>
    <row r="552" spans="6:9" x14ac:dyDescent="0.25">
      <c r="F552" s="106"/>
      <c r="G552" s="106"/>
      <c r="H552" s="106"/>
      <c r="I552" s="106"/>
    </row>
    <row r="553" spans="6:9" x14ac:dyDescent="0.25">
      <c r="F553" s="106"/>
      <c r="G553" s="106"/>
      <c r="H553" s="106"/>
      <c r="I553" s="106"/>
    </row>
    <row r="554" spans="6:9" x14ac:dyDescent="0.25">
      <c r="F554" s="106"/>
      <c r="G554" s="106"/>
      <c r="H554" s="106"/>
      <c r="I554" s="106"/>
    </row>
    <row r="555" spans="6:9" x14ac:dyDescent="0.25">
      <c r="F555" s="106"/>
      <c r="G555" s="106"/>
      <c r="H555" s="106"/>
      <c r="I555" s="106"/>
    </row>
    <row r="556" spans="6:9" x14ac:dyDescent="0.25">
      <c r="F556" s="106"/>
      <c r="G556" s="106"/>
      <c r="H556" s="106"/>
      <c r="I556" s="106"/>
    </row>
    <row r="557" spans="6:9" x14ac:dyDescent="0.25">
      <c r="F557" s="106"/>
      <c r="G557" s="106"/>
      <c r="H557" s="106"/>
      <c r="I557" s="106"/>
    </row>
    <row r="558" spans="6:9" x14ac:dyDescent="0.25">
      <c r="F558" s="106"/>
      <c r="G558" s="106"/>
      <c r="H558" s="106"/>
      <c r="I558" s="106"/>
    </row>
    <row r="559" spans="6:9" x14ac:dyDescent="0.25">
      <c r="F559" s="106"/>
      <c r="G559" s="106"/>
      <c r="H559" s="106"/>
      <c r="I559" s="106"/>
    </row>
    <row r="560" spans="6:9" x14ac:dyDescent="0.25">
      <c r="F560" s="106"/>
      <c r="G560" s="106"/>
      <c r="H560" s="106"/>
      <c r="I560" s="106"/>
    </row>
    <row r="561" spans="6:9" x14ac:dyDescent="0.25">
      <c r="F561" s="106"/>
      <c r="G561" s="106"/>
      <c r="H561" s="106"/>
      <c r="I561" s="106"/>
    </row>
    <row r="562" spans="6:9" x14ac:dyDescent="0.25">
      <c r="F562" s="106"/>
      <c r="G562" s="106"/>
      <c r="H562" s="106"/>
      <c r="I562" s="106"/>
    </row>
    <row r="563" spans="6:9" x14ac:dyDescent="0.25">
      <c r="F563" s="106"/>
      <c r="G563" s="106"/>
      <c r="H563" s="106"/>
      <c r="I563" s="106"/>
    </row>
    <row r="564" spans="6:9" x14ac:dyDescent="0.25">
      <c r="F564" s="106"/>
      <c r="G564" s="106"/>
      <c r="H564" s="106"/>
      <c r="I564" s="106"/>
    </row>
    <row r="565" spans="6:9" x14ac:dyDescent="0.25">
      <c r="F565" s="106"/>
      <c r="G565" s="106"/>
      <c r="H565" s="106"/>
      <c r="I565" s="106"/>
    </row>
    <row r="566" spans="6:9" x14ac:dyDescent="0.25">
      <c r="F566" s="106"/>
      <c r="G566" s="106"/>
      <c r="H566" s="106"/>
      <c r="I566" s="106"/>
    </row>
    <row r="567" spans="6:9" x14ac:dyDescent="0.25">
      <c r="F567" s="106"/>
      <c r="G567" s="106"/>
      <c r="H567" s="106"/>
      <c r="I567" s="106"/>
    </row>
    <row r="568" spans="6:9" x14ac:dyDescent="0.25">
      <c r="F568" s="106"/>
      <c r="G568" s="106"/>
      <c r="H568" s="106"/>
      <c r="I568" s="106"/>
    </row>
    <row r="569" spans="6:9" x14ac:dyDescent="0.25">
      <c r="F569" s="106"/>
      <c r="G569" s="106"/>
      <c r="H569" s="106"/>
      <c r="I569" s="106"/>
    </row>
    <row r="570" spans="6:9" x14ac:dyDescent="0.25">
      <c r="F570" s="106"/>
      <c r="G570" s="106"/>
      <c r="H570" s="106"/>
      <c r="I570" s="106"/>
    </row>
    <row r="571" spans="6:9" x14ac:dyDescent="0.25">
      <c r="F571" s="106"/>
      <c r="G571" s="106"/>
      <c r="H571" s="106"/>
      <c r="I571" s="106"/>
    </row>
    <row r="572" spans="6:9" x14ac:dyDescent="0.25">
      <c r="F572" s="106"/>
      <c r="G572" s="106"/>
      <c r="H572" s="106"/>
      <c r="I572" s="106"/>
    </row>
    <row r="573" spans="6:9" x14ac:dyDescent="0.25">
      <c r="F573" s="106"/>
      <c r="G573" s="106"/>
      <c r="H573" s="106"/>
      <c r="I573" s="106"/>
    </row>
    <row r="574" spans="6:9" x14ac:dyDescent="0.25">
      <c r="F574" s="106"/>
      <c r="G574" s="106"/>
      <c r="H574" s="106"/>
      <c r="I574" s="106"/>
    </row>
    <row r="575" spans="6:9" x14ac:dyDescent="0.25">
      <c r="F575" s="106"/>
      <c r="G575" s="106"/>
      <c r="H575" s="106"/>
      <c r="I575" s="106"/>
    </row>
    <row r="576" spans="6:9" x14ac:dyDescent="0.25">
      <c r="F576" s="106"/>
      <c r="G576" s="106"/>
      <c r="H576" s="106"/>
      <c r="I576" s="106"/>
    </row>
    <row r="577" spans="6:9" x14ac:dyDescent="0.25">
      <c r="F577" s="106"/>
      <c r="G577" s="106"/>
      <c r="H577" s="106"/>
      <c r="I577" s="106"/>
    </row>
    <row r="578" spans="6:9" x14ac:dyDescent="0.25">
      <c r="F578" s="106"/>
      <c r="G578" s="106"/>
      <c r="H578" s="106"/>
      <c r="I578" s="106"/>
    </row>
    <row r="579" spans="6:9" x14ac:dyDescent="0.25">
      <c r="F579" s="106"/>
      <c r="G579" s="106"/>
      <c r="H579" s="106"/>
      <c r="I579" s="106"/>
    </row>
    <row r="580" spans="6:9" x14ac:dyDescent="0.25">
      <c r="F580" s="106"/>
      <c r="G580" s="106"/>
      <c r="H580" s="106"/>
      <c r="I580" s="106"/>
    </row>
    <row r="581" spans="6:9" x14ac:dyDescent="0.25">
      <c r="F581" s="106"/>
      <c r="G581" s="106"/>
      <c r="H581" s="106"/>
      <c r="I581" s="106"/>
    </row>
    <row r="582" spans="6:9" x14ac:dyDescent="0.25">
      <c r="F582" s="106"/>
      <c r="G582" s="106"/>
      <c r="H582" s="106"/>
      <c r="I582" s="106"/>
    </row>
    <row r="583" spans="6:9" x14ac:dyDescent="0.25">
      <c r="F583" s="106"/>
      <c r="G583" s="106"/>
      <c r="H583" s="106"/>
      <c r="I583" s="106"/>
    </row>
    <row r="584" spans="6:9" x14ac:dyDescent="0.25">
      <c r="F584" s="106"/>
      <c r="G584" s="106"/>
      <c r="H584" s="106"/>
      <c r="I584" s="106"/>
    </row>
    <row r="585" spans="6:9" x14ac:dyDescent="0.25">
      <c r="F585" s="106"/>
      <c r="G585" s="106"/>
      <c r="H585" s="106"/>
      <c r="I585" s="106"/>
    </row>
    <row r="586" spans="6:9" x14ac:dyDescent="0.25">
      <c r="F586" s="106"/>
      <c r="G586" s="106"/>
      <c r="H586" s="106"/>
      <c r="I586" s="106"/>
    </row>
    <row r="587" spans="6:9" x14ac:dyDescent="0.25">
      <c r="F587" s="106"/>
      <c r="G587" s="106"/>
      <c r="H587" s="106"/>
      <c r="I587" s="106"/>
    </row>
    <row r="588" spans="6:9" x14ac:dyDescent="0.25">
      <c r="F588" s="106"/>
      <c r="G588" s="106"/>
      <c r="H588" s="106"/>
      <c r="I588" s="106"/>
    </row>
    <row r="589" spans="6:9" x14ac:dyDescent="0.25">
      <c r="F589" s="106"/>
      <c r="G589" s="106"/>
      <c r="H589" s="106"/>
      <c r="I589" s="106"/>
    </row>
    <row r="590" spans="6:9" x14ac:dyDescent="0.25">
      <c r="F590" s="106"/>
      <c r="G590" s="106"/>
      <c r="H590" s="106"/>
      <c r="I590" s="106"/>
    </row>
    <row r="591" spans="6:9" x14ac:dyDescent="0.25">
      <c r="F591" s="106"/>
      <c r="G591" s="106"/>
      <c r="H591" s="106"/>
      <c r="I591" s="106"/>
    </row>
    <row r="592" spans="6:9" x14ac:dyDescent="0.25">
      <c r="F592" s="106"/>
      <c r="G592" s="106"/>
      <c r="H592" s="106"/>
      <c r="I592" s="106"/>
    </row>
    <row r="593" spans="6:9" x14ac:dyDescent="0.25">
      <c r="F593" s="106"/>
      <c r="G593" s="106"/>
      <c r="H593" s="106"/>
      <c r="I593" s="106"/>
    </row>
    <row r="594" spans="6:9" x14ac:dyDescent="0.25">
      <c r="F594" s="106"/>
      <c r="G594" s="106"/>
      <c r="H594" s="106"/>
      <c r="I594" s="106"/>
    </row>
    <row r="595" spans="6:9" x14ac:dyDescent="0.25">
      <c r="F595" s="106"/>
      <c r="G595" s="106"/>
      <c r="H595" s="106"/>
      <c r="I595" s="106"/>
    </row>
    <row r="596" spans="6:9" x14ac:dyDescent="0.25">
      <c r="F596" s="106"/>
      <c r="G596" s="106"/>
      <c r="H596" s="106"/>
      <c r="I596" s="106"/>
    </row>
    <row r="597" spans="6:9" x14ac:dyDescent="0.25">
      <c r="F597" s="106"/>
      <c r="G597" s="106"/>
      <c r="H597" s="106"/>
      <c r="I597" s="106"/>
    </row>
    <row r="598" spans="6:9" x14ac:dyDescent="0.25">
      <c r="F598" s="106"/>
      <c r="G598" s="106"/>
      <c r="H598" s="106"/>
      <c r="I598" s="106"/>
    </row>
    <row r="599" spans="6:9" x14ac:dyDescent="0.25">
      <c r="F599" s="106"/>
      <c r="G599" s="106"/>
      <c r="H599" s="106"/>
      <c r="I599" s="106"/>
    </row>
    <row r="600" spans="6:9" x14ac:dyDescent="0.25">
      <c r="F600" s="106"/>
      <c r="G600" s="106"/>
      <c r="H600" s="106"/>
      <c r="I600" s="106"/>
    </row>
    <row r="601" spans="6:9" x14ac:dyDescent="0.25">
      <c r="F601" s="106"/>
      <c r="G601" s="106"/>
      <c r="H601" s="106"/>
      <c r="I601" s="106"/>
    </row>
    <row r="602" spans="6:9" x14ac:dyDescent="0.25">
      <c r="F602" s="106"/>
      <c r="G602" s="106"/>
      <c r="H602" s="106"/>
      <c r="I602" s="106"/>
    </row>
    <row r="603" spans="6:9" x14ac:dyDescent="0.25">
      <c r="F603" s="106"/>
      <c r="G603" s="106"/>
      <c r="H603" s="106"/>
      <c r="I603" s="106"/>
    </row>
    <row r="604" spans="6:9" x14ac:dyDescent="0.25">
      <c r="F604" s="106"/>
      <c r="G604" s="106"/>
      <c r="H604" s="106"/>
      <c r="I604" s="106"/>
    </row>
    <row r="605" spans="6:9" x14ac:dyDescent="0.25">
      <c r="F605" s="106"/>
      <c r="G605" s="106"/>
      <c r="H605" s="106"/>
      <c r="I605" s="106"/>
    </row>
    <row r="606" spans="6:9" x14ac:dyDescent="0.25">
      <c r="F606" s="106"/>
      <c r="G606" s="106"/>
      <c r="H606" s="106"/>
      <c r="I606" s="106"/>
    </row>
    <row r="607" spans="6:9" x14ac:dyDescent="0.25">
      <c r="F607" s="106"/>
      <c r="G607" s="106"/>
      <c r="H607" s="106"/>
      <c r="I607" s="106"/>
    </row>
    <row r="608" spans="6:9" x14ac:dyDescent="0.25">
      <c r="F608" s="106"/>
      <c r="G608" s="106"/>
      <c r="H608" s="106"/>
      <c r="I608" s="106"/>
    </row>
    <row r="609" spans="6:9" x14ac:dyDescent="0.25">
      <c r="F609" s="106"/>
      <c r="G609" s="106"/>
      <c r="H609" s="106"/>
      <c r="I609" s="106"/>
    </row>
    <row r="610" spans="6:9" x14ac:dyDescent="0.25">
      <c r="F610" s="106"/>
      <c r="G610" s="106"/>
      <c r="H610" s="106"/>
      <c r="I610" s="106"/>
    </row>
    <row r="611" spans="6:9" x14ac:dyDescent="0.25">
      <c r="F611" s="106"/>
      <c r="G611" s="106"/>
      <c r="H611" s="106"/>
      <c r="I611" s="106"/>
    </row>
    <row r="612" spans="6:9" x14ac:dyDescent="0.25">
      <c r="F612" s="106"/>
      <c r="G612" s="106"/>
      <c r="H612" s="106"/>
      <c r="I612" s="106"/>
    </row>
    <row r="613" spans="6:9" x14ac:dyDescent="0.25">
      <c r="F613" s="106"/>
      <c r="G613" s="106"/>
      <c r="H613" s="106"/>
      <c r="I613" s="106"/>
    </row>
    <row r="614" spans="6:9" x14ac:dyDescent="0.25">
      <c r="F614" s="106"/>
      <c r="G614" s="106"/>
      <c r="H614" s="106"/>
      <c r="I614" s="106"/>
    </row>
    <row r="615" spans="6:9" x14ac:dyDescent="0.25">
      <c r="F615" s="106"/>
      <c r="G615" s="106"/>
      <c r="H615" s="106"/>
      <c r="I615" s="106"/>
    </row>
    <row r="616" spans="6:9" x14ac:dyDescent="0.25">
      <c r="F616" s="106"/>
      <c r="G616" s="106"/>
      <c r="H616" s="106"/>
      <c r="I616" s="106"/>
    </row>
    <row r="617" spans="6:9" x14ac:dyDescent="0.25">
      <c r="F617" s="106"/>
      <c r="G617" s="106"/>
      <c r="H617" s="106"/>
      <c r="I617" s="106"/>
    </row>
    <row r="618" spans="6:9" x14ac:dyDescent="0.25">
      <c r="F618" s="106"/>
      <c r="G618" s="106"/>
      <c r="H618" s="106"/>
      <c r="I618" s="106"/>
    </row>
    <row r="619" spans="6:9" x14ac:dyDescent="0.25">
      <c r="F619" s="106"/>
      <c r="G619" s="106"/>
      <c r="H619" s="106"/>
      <c r="I619" s="106"/>
    </row>
    <row r="620" spans="6:9" x14ac:dyDescent="0.25">
      <c r="F620" s="106"/>
      <c r="G620" s="106"/>
      <c r="H620" s="106"/>
      <c r="I620" s="106"/>
    </row>
    <row r="621" spans="6:9" x14ac:dyDescent="0.25">
      <c r="F621" s="106"/>
      <c r="G621" s="106"/>
      <c r="H621" s="106"/>
      <c r="I621" s="106"/>
    </row>
    <row r="622" spans="6:9" x14ac:dyDescent="0.25">
      <c r="F622" s="106"/>
      <c r="G622" s="106"/>
      <c r="H622" s="106"/>
      <c r="I622" s="106"/>
    </row>
    <row r="623" spans="6:9" x14ac:dyDescent="0.25">
      <c r="F623" s="106"/>
      <c r="G623" s="106"/>
      <c r="H623" s="106"/>
      <c r="I623" s="106"/>
    </row>
    <row r="624" spans="6:9" x14ac:dyDescent="0.25">
      <c r="F624" s="106"/>
      <c r="G624" s="106"/>
      <c r="H624" s="106"/>
      <c r="I624" s="106"/>
    </row>
    <row r="625" spans="6:9" x14ac:dyDescent="0.25">
      <c r="F625" s="106"/>
      <c r="G625" s="106"/>
      <c r="H625" s="106"/>
      <c r="I625" s="106"/>
    </row>
    <row r="626" spans="6:9" x14ac:dyDescent="0.25">
      <c r="F626" s="106"/>
      <c r="G626" s="106"/>
      <c r="H626" s="106"/>
      <c r="I626" s="106"/>
    </row>
    <row r="627" spans="6:9" x14ac:dyDescent="0.25">
      <c r="F627" s="106"/>
      <c r="G627" s="106"/>
      <c r="H627" s="106"/>
      <c r="I627" s="106"/>
    </row>
    <row r="628" spans="6:9" x14ac:dyDescent="0.25">
      <c r="F628" s="106"/>
      <c r="G628" s="106"/>
      <c r="H628" s="106"/>
      <c r="I628" s="106"/>
    </row>
    <row r="629" spans="6:9" x14ac:dyDescent="0.25">
      <c r="F629" s="106"/>
      <c r="G629" s="106"/>
      <c r="H629" s="106"/>
      <c r="I629" s="106"/>
    </row>
    <row r="630" spans="6:9" x14ac:dyDescent="0.25">
      <c r="F630" s="106"/>
      <c r="G630" s="106"/>
      <c r="H630" s="106"/>
      <c r="I630" s="106"/>
    </row>
    <row r="631" spans="6:9" x14ac:dyDescent="0.25">
      <c r="F631" s="106"/>
      <c r="G631" s="106"/>
      <c r="H631" s="106"/>
      <c r="I631" s="106"/>
    </row>
    <row r="632" spans="6:9" x14ac:dyDescent="0.25">
      <c r="F632" s="106"/>
      <c r="G632" s="106"/>
      <c r="H632" s="106"/>
      <c r="I632" s="106"/>
    </row>
    <row r="633" spans="6:9" x14ac:dyDescent="0.25">
      <c r="F633" s="106"/>
      <c r="G633" s="106"/>
      <c r="H633" s="106"/>
      <c r="I633" s="106"/>
    </row>
    <row r="634" spans="6:9" x14ac:dyDescent="0.25">
      <c r="F634" s="106"/>
      <c r="G634" s="106"/>
      <c r="H634" s="106"/>
      <c r="I634" s="106"/>
    </row>
    <row r="635" spans="6:9" x14ac:dyDescent="0.25">
      <c r="F635" s="106"/>
      <c r="G635" s="106"/>
      <c r="H635" s="106"/>
      <c r="I635" s="106"/>
    </row>
    <row r="636" spans="6:9" x14ac:dyDescent="0.25">
      <c r="F636" s="106"/>
      <c r="G636" s="106"/>
      <c r="H636" s="106"/>
      <c r="I636" s="106"/>
    </row>
    <row r="637" spans="6:9" x14ac:dyDescent="0.25">
      <c r="F637" s="106"/>
      <c r="G637" s="106"/>
      <c r="H637" s="106"/>
      <c r="I637" s="106"/>
    </row>
    <row r="638" spans="6:9" x14ac:dyDescent="0.25">
      <c r="F638" s="106"/>
      <c r="G638" s="106"/>
      <c r="H638" s="106"/>
      <c r="I638" s="106"/>
    </row>
    <row r="639" spans="6:9" x14ac:dyDescent="0.25">
      <c r="F639" s="106"/>
      <c r="G639" s="106"/>
      <c r="H639" s="106"/>
      <c r="I639" s="106"/>
    </row>
    <row r="640" spans="6:9" x14ac:dyDescent="0.25">
      <c r="F640" s="106"/>
      <c r="G640" s="106"/>
      <c r="H640" s="106"/>
      <c r="I640" s="106"/>
    </row>
    <row r="641" spans="6:9" x14ac:dyDescent="0.25">
      <c r="F641" s="106"/>
      <c r="G641" s="106"/>
      <c r="H641" s="106"/>
      <c r="I641" s="106"/>
    </row>
    <row r="642" spans="6:9" x14ac:dyDescent="0.25">
      <c r="F642" s="106"/>
      <c r="G642" s="106"/>
      <c r="H642" s="106"/>
      <c r="I642" s="106"/>
    </row>
    <row r="643" spans="6:9" x14ac:dyDescent="0.25">
      <c r="F643" s="106"/>
      <c r="G643" s="106"/>
      <c r="H643" s="106"/>
      <c r="I643" s="106"/>
    </row>
    <row r="644" spans="6:9" x14ac:dyDescent="0.25">
      <c r="F644" s="106"/>
      <c r="G644" s="106"/>
      <c r="H644" s="106"/>
      <c r="I644" s="106"/>
    </row>
    <row r="645" spans="6:9" x14ac:dyDescent="0.25">
      <c r="F645" s="106"/>
      <c r="G645" s="106"/>
      <c r="H645" s="106"/>
      <c r="I645" s="106"/>
    </row>
    <row r="646" spans="6:9" x14ac:dyDescent="0.25">
      <c r="F646" s="106"/>
      <c r="G646" s="106"/>
      <c r="H646" s="106"/>
      <c r="I646" s="106"/>
    </row>
    <row r="647" spans="6:9" x14ac:dyDescent="0.25">
      <c r="F647" s="106"/>
      <c r="G647" s="106"/>
      <c r="H647" s="106"/>
      <c r="I647" s="106"/>
    </row>
    <row r="648" spans="6:9" x14ac:dyDescent="0.25">
      <c r="F648" s="106"/>
      <c r="G648" s="106"/>
      <c r="H648" s="106"/>
      <c r="I648" s="106"/>
    </row>
    <row r="649" spans="6:9" x14ac:dyDescent="0.25">
      <c r="F649" s="106"/>
      <c r="G649" s="106"/>
      <c r="H649" s="106"/>
      <c r="I649" s="106"/>
    </row>
    <row r="650" spans="6:9" x14ac:dyDescent="0.25">
      <c r="F650" s="106"/>
      <c r="G650" s="106"/>
      <c r="H650" s="106"/>
      <c r="I650" s="106"/>
    </row>
    <row r="651" spans="6:9" x14ac:dyDescent="0.25">
      <c r="F651" s="106"/>
      <c r="G651" s="106"/>
      <c r="H651" s="106"/>
      <c r="I651" s="106"/>
    </row>
    <row r="652" spans="6:9" x14ac:dyDescent="0.25">
      <c r="F652" s="106"/>
      <c r="G652" s="106"/>
      <c r="H652" s="106"/>
      <c r="I652" s="106"/>
    </row>
    <row r="653" spans="6:9" x14ac:dyDescent="0.25">
      <c r="F653" s="106"/>
      <c r="G653" s="106"/>
      <c r="H653" s="106"/>
      <c r="I653" s="106"/>
    </row>
    <row r="654" spans="6:9" x14ac:dyDescent="0.25">
      <c r="F654" s="106"/>
      <c r="G654" s="106"/>
      <c r="H654" s="106"/>
      <c r="I654" s="106"/>
    </row>
    <row r="655" spans="6:9" x14ac:dyDescent="0.25">
      <c r="F655" s="106"/>
      <c r="G655" s="106"/>
      <c r="H655" s="106"/>
      <c r="I655" s="106"/>
    </row>
    <row r="656" spans="6:9" x14ac:dyDescent="0.25">
      <c r="F656" s="106"/>
      <c r="G656" s="106"/>
      <c r="H656" s="106"/>
      <c r="I656" s="106"/>
    </row>
    <row r="657" spans="6:9" x14ac:dyDescent="0.25">
      <c r="F657" s="106"/>
      <c r="G657" s="106"/>
      <c r="H657" s="106"/>
      <c r="I657" s="106"/>
    </row>
    <row r="658" spans="6:9" x14ac:dyDescent="0.25">
      <c r="F658" s="106"/>
      <c r="G658" s="106"/>
      <c r="H658" s="106"/>
      <c r="I658" s="106"/>
    </row>
    <row r="659" spans="6:9" x14ac:dyDescent="0.25">
      <c r="F659" s="106"/>
      <c r="G659" s="106"/>
      <c r="H659" s="106"/>
      <c r="I659" s="106"/>
    </row>
    <row r="660" spans="6:9" x14ac:dyDescent="0.25">
      <c r="F660" s="106"/>
      <c r="G660" s="106"/>
      <c r="H660" s="106"/>
      <c r="I660" s="106"/>
    </row>
    <row r="661" spans="6:9" x14ac:dyDescent="0.25">
      <c r="F661" s="106"/>
      <c r="G661" s="106"/>
      <c r="H661" s="106"/>
      <c r="I661" s="106"/>
    </row>
    <row r="662" spans="6:9" x14ac:dyDescent="0.25">
      <c r="F662" s="106"/>
      <c r="G662" s="106"/>
      <c r="H662" s="106"/>
      <c r="I662" s="106"/>
    </row>
    <row r="663" spans="6:9" x14ac:dyDescent="0.25">
      <c r="F663" s="106"/>
      <c r="G663" s="106"/>
      <c r="H663" s="106"/>
      <c r="I663" s="106"/>
    </row>
    <row r="664" spans="6:9" x14ac:dyDescent="0.25">
      <c r="F664" s="106"/>
      <c r="G664" s="106"/>
      <c r="H664" s="106"/>
      <c r="I664" s="106"/>
    </row>
    <row r="665" spans="6:9" x14ac:dyDescent="0.25">
      <c r="F665" s="106"/>
      <c r="G665" s="106"/>
      <c r="H665" s="106"/>
      <c r="I665" s="106"/>
    </row>
    <row r="666" spans="6:9" x14ac:dyDescent="0.25">
      <c r="F666" s="106"/>
      <c r="G666" s="106"/>
      <c r="H666" s="106"/>
      <c r="I666" s="106"/>
    </row>
    <row r="667" spans="6:9" x14ac:dyDescent="0.25">
      <c r="F667" s="106"/>
      <c r="G667" s="106"/>
      <c r="H667" s="106"/>
      <c r="I667" s="106"/>
    </row>
    <row r="668" spans="6:9" x14ac:dyDescent="0.25">
      <c r="F668" s="106"/>
      <c r="G668" s="106"/>
      <c r="H668" s="106"/>
      <c r="I668" s="106"/>
    </row>
    <row r="669" spans="6:9" x14ac:dyDescent="0.25">
      <c r="F669" s="106"/>
      <c r="G669" s="106"/>
      <c r="H669" s="106"/>
      <c r="I669" s="106"/>
    </row>
    <row r="670" spans="6:9" x14ac:dyDescent="0.25">
      <c r="F670" s="106"/>
      <c r="G670" s="106"/>
      <c r="H670" s="106"/>
      <c r="I670" s="106"/>
    </row>
    <row r="671" spans="6:9" x14ac:dyDescent="0.25">
      <c r="F671" s="106"/>
      <c r="G671" s="106"/>
      <c r="H671" s="106"/>
      <c r="I671" s="106"/>
    </row>
    <row r="672" spans="6:9" x14ac:dyDescent="0.25">
      <c r="F672" s="106"/>
      <c r="G672" s="106"/>
      <c r="H672" s="106"/>
      <c r="I672" s="106"/>
    </row>
    <row r="673" spans="6:9" x14ac:dyDescent="0.25">
      <c r="F673" s="106"/>
      <c r="G673" s="106"/>
      <c r="H673" s="106"/>
      <c r="I673" s="106"/>
    </row>
    <row r="674" spans="6:9" x14ac:dyDescent="0.25">
      <c r="F674" s="106"/>
      <c r="G674" s="106"/>
      <c r="H674" s="106"/>
      <c r="I674" s="106"/>
    </row>
    <row r="675" spans="6:9" x14ac:dyDescent="0.25">
      <c r="F675" s="106"/>
      <c r="G675" s="106"/>
      <c r="H675" s="106"/>
      <c r="I675" s="106"/>
    </row>
    <row r="676" spans="6:9" x14ac:dyDescent="0.25">
      <c r="F676" s="106"/>
      <c r="G676" s="106"/>
      <c r="H676" s="106"/>
      <c r="I676" s="106"/>
    </row>
    <row r="677" spans="6:9" x14ac:dyDescent="0.25">
      <c r="F677" s="106"/>
      <c r="G677" s="106"/>
      <c r="H677" s="106"/>
      <c r="I677" s="106"/>
    </row>
    <row r="678" spans="6:9" x14ac:dyDescent="0.25">
      <c r="F678" s="106"/>
      <c r="G678" s="106"/>
      <c r="H678" s="106"/>
      <c r="I678" s="106"/>
    </row>
    <row r="679" spans="6:9" x14ac:dyDescent="0.25">
      <c r="F679" s="106"/>
      <c r="G679" s="106"/>
      <c r="H679" s="106"/>
      <c r="I679" s="106"/>
    </row>
    <row r="680" spans="6:9" x14ac:dyDescent="0.25">
      <c r="F680" s="106"/>
      <c r="G680" s="106"/>
      <c r="H680" s="106"/>
      <c r="I680" s="106"/>
    </row>
    <row r="681" spans="6:9" x14ac:dyDescent="0.25">
      <c r="F681" s="106"/>
      <c r="G681" s="106"/>
      <c r="H681" s="106"/>
      <c r="I681" s="106"/>
    </row>
    <row r="682" spans="6:9" x14ac:dyDescent="0.25">
      <c r="F682" s="106"/>
      <c r="G682" s="106"/>
      <c r="H682" s="106"/>
      <c r="I682" s="106"/>
    </row>
    <row r="683" spans="6:9" x14ac:dyDescent="0.25">
      <c r="F683" s="106"/>
      <c r="G683" s="106"/>
      <c r="H683" s="106"/>
      <c r="I683" s="106"/>
    </row>
    <row r="684" spans="6:9" x14ac:dyDescent="0.25">
      <c r="F684" s="106"/>
      <c r="G684" s="106"/>
      <c r="H684" s="106"/>
      <c r="I684" s="106"/>
    </row>
    <row r="685" spans="6:9" x14ac:dyDescent="0.25">
      <c r="F685" s="106"/>
      <c r="G685" s="106"/>
      <c r="H685" s="106"/>
      <c r="I685" s="106"/>
    </row>
    <row r="686" spans="6:9" x14ac:dyDescent="0.25">
      <c r="F686" s="106"/>
      <c r="G686" s="106"/>
      <c r="H686" s="106"/>
      <c r="I686" s="106"/>
    </row>
    <row r="687" spans="6:9" x14ac:dyDescent="0.25">
      <c r="F687" s="106"/>
      <c r="G687" s="106"/>
      <c r="H687" s="106"/>
      <c r="I687" s="106"/>
    </row>
    <row r="688" spans="6:9" x14ac:dyDescent="0.25">
      <c r="F688" s="106"/>
      <c r="G688" s="106"/>
      <c r="H688" s="106"/>
      <c r="I688" s="106"/>
    </row>
    <row r="689" spans="6:9" x14ac:dyDescent="0.25">
      <c r="F689" s="106"/>
      <c r="G689" s="106"/>
      <c r="H689" s="106"/>
      <c r="I689" s="106"/>
    </row>
    <row r="690" spans="6:9" x14ac:dyDescent="0.25">
      <c r="F690" s="106"/>
      <c r="G690" s="106"/>
      <c r="H690" s="106"/>
      <c r="I690" s="106"/>
    </row>
    <row r="691" spans="6:9" x14ac:dyDescent="0.25">
      <c r="F691" s="106"/>
      <c r="G691" s="106"/>
      <c r="H691" s="106"/>
      <c r="I691" s="106"/>
    </row>
    <row r="692" spans="6:9" x14ac:dyDescent="0.25">
      <c r="F692" s="106"/>
      <c r="G692" s="106"/>
      <c r="H692" s="106"/>
      <c r="I692" s="106"/>
    </row>
    <row r="693" spans="6:9" x14ac:dyDescent="0.25">
      <c r="F693" s="106"/>
      <c r="G693" s="106"/>
      <c r="H693" s="106"/>
      <c r="I693" s="106"/>
    </row>
    <row r="694" spans="6:9" x14ac:dyDescent="0.25">
      <c r="F694" s="106"/>
      <c r="G694" s="106"/>
      <c r="H694" s="106"/>
      <c r="I694" s="106"/>
    </row>
    <row r="695" spans="6:9" x14ac:dyDescent="0.25">
      <c r="F695" s="106"/>
      <c r="G695" s="106"/>
      <c r="H695" s="106"/>
      <c r="I695" s="106"/>
    </row>
    <row r="696" spans="6:9" x14ac:dyDescent="0.25">
      <c r="F696" s="106"/>
      <c r="G696" s="106"/>
      <c r="H696" s="106"/>
      <c r="I696" s="106"/>
    </row>
    <row r="697" spans="6:9" x14ac:dyDescent="0.25">
      <c r="F697" s="106"/>
      <c r="G697" s="106"/>
      <c r="H697" s="106"/>
      <c r="I697" s="106"/>
    </row>
    <row r="698" spans="6:9" x14ac:dyDescent="0.25">
      <c r="F698" s="106"/>
      <c r="G698" s="106"/>
      <c r="H698" s="106"/>
      <c r="I698" s="106"/>
    </row>
    <row r="699" spans="6:9" x14ac:dyDescent="0.25">
      <c r="F699" s="106"/>
      <c r="G699" s="106"/>
      <c r="H699" s="106"/>
      <c r="I699" s="106"/>
    </row>
    <row r="700" spans="6:9" x14ac:dyDescent="0.25">
      <c r="F700" s="106"/>
      <c r="G700" s="106"/>
      <c r="H700" s="106"/>
      <c r="I700" s="106"/>
    </row>
    <row r="701" spans="6:9" x14ac:dyDescent="0.25">
      <c r="F701" s="106"/>
      <c r="G701" s="106"/>
      <c r="H701" s="106"/>
      <c r="I701" s="106"/>
    </row>
    <row r="702" spans="6:9" x14ac:dyDescent="0.25">
      <c r="F702" s="106"/>
      <c r="G702" s="106"/>
      <c r="H702" s="106"/>
      <c r="I702" s="106"/>
    </row>
    <row r="703" spans="6:9" x14ac:dyDescent="0.25">
      <c r="F703" s="106"/>
      <c r="G703" s="106"/>
      <c r="H703" s="106"/>
      <c r="I703" s="106"/>
    </row>
    <row r="704" spans="6:9" x14ac:dyDescent="0.25">
      <c r="F704" s="106"/>
      <c r="G704" s="106"/>
      <c r="H704" s="106"/>
      <c r="I704" s="106"/>
    </row>
    <row r="705" spans="6:9" x14ac:dyDescent="0.25">
      <c r="F705" s="106"/>
      <c r="G705" s="106"/>
      <c r="H705" s="106"/>
      <c r="I705" s="106"/>
    </row>
    <row r="706" spans="6:9" x14ac:dyDescent="0.25">
      <c r="F706" s="106"/>
      <c r="G706" s="106"/>
      <c r="H706" s="106"/>
      <c r="I706" s="106"/>
    </row>
    <row r="707" spans="6:9" x14ac:dyDescent="0.25">
      <c r="F707" s="106"/>
      <c r="G707" s="106"/>
      <c r="H707" s="106"/>
      <c r="I707" s="106"/>
    </row>
    <row r="708" spans="6:9" x14ac:dyDescent="0.25">
      <c r="F708" s="106"/>
      <c r="G708" s="106"/>
      <c r="H708" s="106"/>
      <c r="I708" s="106"/>
    </row>
    <row r="709" spans="6:9" x14ac:dyDescent="0.25">
      <c r="F709" s="106"/>
      <c r="G709" s="106"/>
      <c r="H709" s="106"/>
      <c r="I709" s="106"/>
    </row>
    <row r="710" spans="6:9" x14ac:dyDescent="0.25">
      <c r="F710" s="106"/>
      <c r="G710" s="106"/>
      <c r="H710" s="106"/>
      <c r="I710" s="106"/>
    </row>
    <row r="711" spans="6:9" x14ac:dyDescent="0.25">
      <c r="F711" s="106"/>
      <c r="G711" s="106"/>
      <c r="H711" s="106"/>
      <c r="I711" s="106"/>
    </row>
    <row r="712" spans="6:9" x14ac:dyDescent="0.25">
      <c r="F712" s="106"/>
      <c r="G712" s="106"/>
      <c r="H712" s="106"/>
      <c r="I712" s="106"/>
    </row>
    <row r="713" spans="6:9" x14ac:dyDescent="0.25">
      <c r="F713" s="106"/>
      <c r="G713" s="106"/>
      <c r="H713" s="106"/>
      <c r="I713" s="106"/>
    </row>
    <row r="714" spans="6:9" x14ac:dyDescent="0.25">
      <c r="F714" s="106"/>
      <c r="G714" s="106"/>
      <c r="H714" s="106"/>
      <c r="I714" s="106"/>
    </row>
    <row r="715" spans="6:9" x14ac:dyDescent="0.25">
      <c r="F715" s="106"/>
      <c r="G715" s="106"/>
      <c r="H715" s="106"/>
      <c r="I715" s="106"/>
    </row>
    <row r="716" spans="6:9" x14ac:dyDescent="0.25">
      <c r="F716" s="106"/>
      <c r="G716" s="106"/>
      <c r="H716" s="106"/>
      <c r="I716" s="106"/>
    </row>
    <row r="717" spans="6:9" x14ac:dyDescent="0.25">
      <c r="F717" s="106"/>
      <c r="G717" s="106"/>
      <c r="H717" s="106"/>
      <c r="I717" s="106"/>
    </row>
    <row r="718" spans="6:9" x14ac:dyDescent="0.25">
      <c r="F718" s="106"/>
      <c r="G718" s="106"/>
      <c r="H718" s="106"/>
      <c r="I718" s="106"/>
    </row>
    <row r="719" spans="6:9" x14ac:dyDescent="0.25">
      <c r="F719" s="106"/>
      <c r="G719" s="106"/>
      <c r="H719" s="106"/>
      <c r="I719" s="106"/>
    </row>
    <row r="720" spans="6:9" x14ac:dyDescent="0.25">
      <c r="F720" s="106"/>
      <c r="G720" s="106"/>
      <c r="H720" s="106"/>
      <c r="I720" s="106"/>
    </row>
    <row r="721" spans="6:9" x14ac:dyDescent="0.25">
      <c r="F721" s="106"/>
      <c r="G721" s="106"/>
      <c r="H721" s="106"/>
      <c r="I721" s="106"/>
    </row>
    <row r="722" spans="6:9" x14ac:dyDescent="0.25">
      <c r="F722" s="106"/>
      <c r="G722" s="106"/>
      <c r="H722" s="106"/>
      <c r="I722" s="106"/>
    </row>
    <row r="723" spans="6:9" x14ac:dyDescent="0.25">
      <c r="F723" s="106"/>
      <c r="G723" s="106"/>
      <c r="H723" s="106"/>
      <c r="I723" s="106"/>
    </row>
    <row r="724" spans="6:9" x14ac:dyDescent="0.25">
      <c r="F724" s="106"/>
      <c r="G724" s="106"/>
      <c r="H724" s="106"/>
      <c r="I724" s="106"/>
    </row>
    <row r="725" spans="6:9" x14ac:dyDescent="0.25">
      <c r="F725" s="106"/>
      <c r="G725" s="106"/>
      <c r="H725" s="106"/>
      <c r="I725" s="106"/>
    </row>
    <row r="726" spans="6:9" x14ac:dyDescent="0.25">
      <c r="F726" s="106"/>
      <c r="G726" s="106"/>
      <c r="H726" s="106"/>
      <c r="I726" s="106"/>
    </row>
    <row r="727" spans="6:9" x14ac:dyDescent="0.25">
      <c r="F727" s="106"/>
      <c r="G727" s="106"/>
      <c r="H727" s="106"/>
      <c r="I727" s="106"/>
    </row>
    <row r="728" spans="6:9" x14ac:dyDescent="0.25">
      <c r="F728" s="106"/>
      <c r="G728" s="106"/>
      <c r="H728" s="106"/>
      <c r="I728" s="106"/>
    </row>
    <row r="729" spans="6:9" x14ac:dyDescent="0.25">
      <c r="F729" s="106"/>
      <c r="G729" s="106"/>
      <c r="H729" s="106"/>
      <c r="I729" s="106"/>
    </row>
    <row r="730" spans="6:9" x14ac:dyDescent="0.25">
      <c r="F730" s="106"/>
      <c r="G730" s="106"/>
      <c r="H730" s="106"/>
      <c r="I730" s="106"/>
    </row>
    <row r="731" spans="6:9" x14ac:dyDescent="0.25">
      <c r="F731" s="106"/>
      <c r="G731" s="106"/>
      <c r="H731" s="106"/>
      <c r="I731" s="106"/>
    </row>
    <row r="732" spans="6:9" x14ac:dyDescent="0.25">
      <c r="F732" s="106"/>
      <c r="G732" s="106"/>
      <c r="H732" s="106"/>
      <c r="I732" s="106"/>
    </row>
    <row r="733" spans="6:9" x14ac:dyDescent="0.25">
      <c r="F733" s="106"/>
      <c r="G733" s="106"/>
      <c r="H733" s="106"/>
      <c r="I733" s="106"/>
    </row>
    <row r="734" spans="6:9" x14ac:dyDescent="0.25">
      <c r="F734" s="106"/>
      <c r="G734" s="106"/>
      <c r="H734" s="106"/>
      <c r="I734" s="106"/>
    </row>
    <row r="735" spans="6:9" x14ac:dyDescent="0.25">
      <c r="F735" s="106"/>
      <c r="G735" s="106"/>
      <c r="H735" s="106"/>
      <c r="I735" s="106"/>
    </row>
    <row r="736" spans="6:9" x14ac:dyDescent="0.25">
      <c r="F736" s="106"/>
      <c r="G736" s="106"/>
      <c r="H736" s="106"/>
      <c r="I736" s="106"/>
    </row>
    <row r="737" spans="6:9" x14ac:dyDescent="0.25">
      <c r="F737" s="106"/>
      <c r="G737" s="106"/>
      <c r="H737" s="106"/>
      <c r="I737" s="106"/>
    </row>
    <row r="738" spans="6:9" x14ac:dyDescent="0.25">
      <c r="F738" s="106"/>
      <c r="G738" s="106"/>
      <c r="H738" s="106"/>
      <c r="I738" s="106"/>
    </row>
    <row r="739" spans="6:9" x14ac:dyDescent="0.25">
      <c r="F739" s="106"/>
      <c r="G739" s="106"/>
      <c r="H739" s="106"/>
      <c r="I739" s="106"/>
    </row>
    <row r="740" spans="6:9" x14ac:dyDescent="0.25">
      <c r="F740" s="106"/>
      <c r="G740" s="106"/>
      <c r="H740" s="106"/>
      <c r="I740" s="106"/>
    </row>
    <row r="741" spans="6:9" x14ac:dyDescent="0.25">
      <c r="F741" s="106"/>
      <c r="G741" s="106"/>
      <c r="H741" s="106"/>
      <c r="I741" s="106"/>
    </row>
    <row r="742" spans="6:9" x14ac:dyDescent="0.25">
      <c r="F742" s="106"/>
      <c r="G742" s="106"/>
      <c r="H742" s="106"/>
      <c r="I742" s="106"/>
    </row>
    <row r="743" spans="6:9" x14ac:dyDescent="0.25">
      <c r="F743" s="106"/>
      <c r="G743" s="106"/>
      <c r="H743" s="106"/>
      <c r="I743" s="106"/>
    </row>
    <row r="744" spans="6:9" x14ac:dyDescent="0.25">
      <c r="F744" s="106"/>
      <c r="G744" s="106"/>
      <c r="H744" s="106"/>
      <c r="I744" s="106"/>
    </row>
    <row r="745" spans="6:9" x14ac:dyDescent="0.25">
      <c r="F745" s="106"/>
      <c r="G745" s="106"/>
      <c r="H745" s="106"/>
      <c r="I745" s="106"/>
    </row>
    <row r="746" spans="6:9" x14ac:dyDescent="0.25">
      <c r="F746" s="106"/>
      <c r="G746" s="106"/>
      <c r="H746" s="106"/>
      <c r="I746" s="106"/>
    </row>
    <row r="747" spans="6:9" x14ac:dyDescent="0.25">
      <c r="F747" s="106"/>
      <c r="G747" s="106"/>
      <c r="H747" s="106"/>
      <c r="I747" s="106"/>
    </row>
    <row r="748" spans="6:9" x14ac:dyDescent="0.25">
      <c r="F748" s="106"/>
      <c r="G748" s="106"/>
      <c r="H748" s="106"/>
      <c r="I748" s="106"/>
    </row>
    <row r="749" spans="6:9" x14ac:dyDescent="0.25">
      <c r="F749" s="106"/>
      <c r="G749" s="106"/>
      <c r="H749" s="106"/>
      <c r="I749" s="106"/>
    </row>
    <row r="750" spans="6:9" x14ac:dyDescent="0.25">
      <c r="F750" s="106"/>
      <c r="G750" s="106"/>
      <c r="H750" s="106"/>
      <c r="I750" s="106"/>
    </row>
    <row r="751" spans="6:9" x14ac:dyDescent="0.25">
      <c r="F751" s="106"/>
      <c r="G751" s="106"/>
      <c r="H751" s="106"/>
      <c r="I751" s="106"/>
    </row>
    <row r="752" spans="6:9" x14ac:dyDescent="0.25">
      <c r="F752" s="106"/>
      <c r="G752" s="106"/>
      <c r="H752" s="106"/>
      <c r="I752" s="106"/>
    </row>
    <row r="753" spans="6:9" x14ac:dyDescent="0.25">
      <c r="F753" s="106"/>
      <c r="G753" s="106"/>
      <c r="H753" s="106"/>
      <c r="I753" s="106"/>
    </row>
    <row r="754" spans="6:9" x14ac:dyDescent="0.25">
      <c r="F754" s="106"/>
      <c r="G754" s="106"/>
      <c r="H754" s="106"/>
      <c r="I754" s="106"/>
    </row>
    <row r="755" spans="6:9" x14ac:dyDescent="0.25">
      <c r="F755" s="106"/>
      <c r="G755" s="106"/>
      <c r="H755" s="106"/>
      <c r="I755" s="106"/>
    </row>
    <row r="756" spans="6:9" x14ac:dyDescent="0.25">
      <c r="F756" s="106"/>
      <c r="G756" s="106"/>
      <c r="H756" s="106"/>
      <c r="I756" s="106"/>
    </row>
    <row r="757" spans="6:9" x14ac:dyDescent="0.25">
      <c r="F757" s="106"/>
      <c r="G757" s="106"/>
      <c r="H757" s="106"/>
      <c r="I757" s="106"/>
    </row>
    <row r="758" spans="6:9" x14ac:dyDescent="0.25">
      <c r="F758" s="106"/>
      <c r="G758" s="106"/>
      <c r="H758" s="106"/>
      <c r="I758" s="106"/>
    </row>
    <row r="759" spans="6:9" x14ac:dyDescent="0.25">
      <c r="F759" s="106"/>
      <c r="G759" s="106"/>
      <c r="H759" s="106"/>
      <c r="I759" s="106"/>
    </row>
    <row r="760" spans="6:9" x14ac:dyDescent="0.25">
      <c r="F760" s="106"/>
      <c r="G760" s="106"/>
      <c r="H760" s="106"/>
      <c r="I760" s="106"/>
    </row>
    <row r="761" spans="6:9" x14ac:dyDescent="0.25">
      <c r="F761" s="106"/>
      <c r="G761" s="106"/>
      <c r="H761" s="106"/>
      <c r="I761" s="106"/>
    </row>
    <row r="762" spans="6:9" x14ac:dyDescent="0.25">
      <c r="F762" s="106"/>
      <c r="G762" s="106"/>
      <c r="H762" s="106"/>
      <c r="I762" s="106"/>
    </row>
    <row r="763" spans="6:9" x14ac:dyDescent="0.25">
      <c r="F763" s="106"/>
      <c r="G763" s="106"/>
      <c r="H763" s="106"/>
      <c r="I763" s="106"/>
    </row>
    <row r="764" spans="6:9" x14ac:dyDescent="0.25">
      <c r="F764" s="106"/>
      <c r="G764" s="106"/>
      <c r="H764" s="106"/>
      <c r="I764" s="106"/>
    </row>
    <row r="765" spans="6:9" x14ac:dyDescent="0.25">
      <c r="F765" s="106"/>
      <c r="G765" s="106"/>
      <c r="H765" s="106"/>
      <c r="I765" s="106"/>
    </row>
    <row r="766" spans="6:9" x14ac:dyDescent="0.25">
      <c r="F766" s="106"/>
      <c r="G766" s="106"/>
      <c r="H766" s="106"/>
      <c r="I766" s="106"/>
    </row>
    <row r="767" spans="6:9" x14ac:dyDescent="0.25">
      <c r="F767" s="106"/>
      <c r="G767" s="106"/>
      <c r="H767" s="106"/>
      <c r="I767" s="106"/>
    </row>
    <row r="768" spans="6:9" x14ac:dyDescent="0.25">
      <c r="F768" s="106"/>
      <c r="G768" s="106"/>
      <c r="H768" s="106"/>
      <c r="I768" s="106"/>
    </row>
    <row r="769" spans="6:9" x14ac:dyDescent="0.25">
      <c r="F769" s="106"/>
      <c r="G769" s="106"/>
      <c r="H769" s="106"/>
      <c r="I769" s="106"/>
    </row>
    <row r="770" spans="6:9" x14ac:dyDescent="0.25">
      <c r="F770" s="106"/>
      <c r="G770" s="106"/>
      <c r="H770" s="106"/>
      <c r="I770" s="106"/>
    </row>
    <row r="771" spans="6:9" x14ac:dyDescent="0.25">
      <c r="F771" s="106"/>
      <c r="G771" s="106"/>
      <c r="H771" s="106"/>
      <c r="I771" s="106"/>
    </row>
    <row r="772" spans="6:9" x14ac:dyDescent="0.25">
      <c r="F772" s="106"/>
      <c r="G772" s="106"/>
      <c r="H772" s="106"/>
      <c r="I772" s="106"/>
    </row>
    <row r="773" spans="6:9" x14ac:dyDescent="0.25">
      <c r="F773" s="106"/>
      <c r="G773" s="106"/>
      <c r="H773" s="106"/>
      <c r="I773" s="106"/>
    </row>
    <row r="774" spans="6:9" x14ac:dyDescent="0.25">
      <c r="F774" s="106"/>
      <c r="G774" s="106"/>
      <c r="H774" s="106"/>
      <c r="I774" s="106"/>
    </row>
    <row r="775" spans="6:9" x14ac:dyDescent="0.25">
      <c r="F775" s="106"/>
      <c r="G775" s="106"/>
      <c r="H775" s="106"/>
      <c r="I775" s="106"/>
    </row>
    <row r="776" spans="6:9" x14ac:dyDescent="0.25">
      <c r="F776" s="106"/>
      <c r="G776" s="106"/>
      <c r="H776" s="106"/>
      <c r="I776" s="106"/>
    </row>
    <row r="777" spans="6:9" x14ac:dyDescent="0.25">
      <c r="F777" s="106"/>
      <c r="G777" s="106"/>
      <c r="H777" s="106"/>
      <c r="I777" s="106"/>
    </row>
    <row r="778" spans="6:9" x14ac:dyDescent="0.25">
      <c r="F778" s="106"/>
      <c r="G778" s="106"/>
      <c r="H778" s="106"/>
      <c r="I778" s="106"/>
    </row>
    <row r="779" spans="6:9" x14ac:dyDescent="0.25">
      <c r="F779" s="106"/>
      <c r="G779" s="106"/>
      <c r="H779" s="106"/>
      <c r="I779" s="106"/>
    </row>
    <row r="780" spans="6:9" x14ac:dyDescent="0.25">
      <c r="F780" s="106"/>
      <c r="G780" s="106"/>
      <c r="H780" s="106"/>
      <c r="I780" s="106"/>
    </row>
    <row r="781" spans="6:9" x14ac:dyDescent="0.25">
      <c r="F781" s="106"/>
      <c r="G781" s="106"/>
      <c r="H781" s="106"/>
      <c r="I781" s="106"/>
    </row>
    <row r="782" spans="6:9" x14ac:dyDescent="0.25">
      <c r="F782" s="106"/>
      <c r="G782" s="106"/>
      <c r="H782" s="106"/>
      <c r="I782" s="106"/>
    </row>
    <row r="783" spans="6:9" x14ac:dyDescent="0.25">
      <c r="F783" s="106"/>
      <c r="G783" s="106"/>
      <c r="H783" s="106"/>
      <c r="I783" s="106"/>
    </row>
    <row r="784" spans="6:9" x14ac:dyDescent="0.25">
      <c r="F784" s="106"/>
      <c r="G784" s="106"/>
      <c r="H784" s="106"/>
      <c r="I784" s="106"/>
    </row>
    <row r="785" spans="6:9" x14ac:dyDescent="0.25">
      <c r="F785" s="106"/>
      <c r="G785" s="106"/>
      <c r="H785" s="106"/>
      <c r="I785" s="106"/>
    </row>
    <row r="786" spans="6:9" x14ac:dyDescent="0.25">
      <c r="F786" s="106"/>
      <c r="G786" s="106"/>
      <c r="H786" s="106"/>
      <c r="I786" s="106"/>
    </row>
    <row r="787" spans="6:9" x14ac:dyDescent="0.25">
      <c r="F787" s="106"/>
      <c r="G787" s="106"/>
      <c r="H787" s="106"/>
      <c r="I787" s="106"/>
    </row>
    <row r="788" spans="6:9" x14ac:dyDescent="0.25">
      <c r="F788" s="106"/>
      <c r="G788" s="106"/>
      <c r="H788" s="106"/>
      <c r="I788" s="106"/>
    </row>
    <row r="789" spans="6:9" x14ac:dyDescent="0.25">
      <c r="F789" s="106"/>
      <c r="G789" s="106"/>
      <c r="H789" s="106"/>
      <c r="I789" s="106"/>
    </row>
    <row r="790" spans="6:9" x14ac:dyDescent="0.25">
      <c r="F790" s="106"/>
      <c r="G790" s="106"/>
      <c r="H790" s="106"/>
      <c r="I790" s="106"/>
    </row>
    <row r="791" spans="6:9" x14ac:dyDescent="0.25">
      <c r="F791" s="106"/>
      <c r="G791" s="106"/>
      <c r="H791" s="106"/>
      <c r="I791" s="106"/>
    </row>
    <row r="792" spans="6:9" x14ac:dyDescent="0.25">
      <c r="F792" s="106"/>
      <c r="G792" s="106"/>
      <c r="H792" s="106"/>
      <c r="I792" s="106"/>
    </row>
    <row r="793" spans="6:9" x14ac:dyDescent="0.25">
      <c r="F793" s="106"/>
      <c r="G793" s="106"/>
      <c r="H793" s="106"/>
      <c r="I793" s="106"/>
    </row>
    <row r="794" spans="6:9" x14ac:dyDescent="0.25">
      <c r="F794" s="106"/>
      <c r="G794" s="106"/>
      <c r="H794" s="106"/>
      <c r="I794" s="106"/>
    </row>
    <row r="795" spans="6:9" x14ac:dyDescent="0.25">
      <c r="F795" s="106"/>
      <c r="G795" s="106"/>
      <c r="H795" s="106"/>
      <c r="I795" s="106"/>
    </row>
    <row r="796" spans="6:9" x14ac:dyDescent="0.25">
      <c r="F796" s="106"/>
      <c r="G796" s="106"/>
      <c r="H796" s="106"/>
      <c r="I796" s="106"/>
    </row>
    <row r="797" spans="6:9" x14ac:dyDescent="0.25">
      <c r="F797" s="106"/>
      <c r="G797" s="106"/>
      <c r="H797" s="106"/>
      <c r="I797" s="106"/>
    </row>
    <row r="798" spans="6:9" x14ac:dyDescent="0.25">
      <c r="F798" s="106"/>
      <c r="G798" s="106"/>
      <c r="H798" s="106"/>
      <c r="I798" s="106"/>
    </row>
    <row r="799" spans="6:9" x14ac:dyDescent="0.25">
      <c r="F799" s="106"/>
      <c r="G799" s="106"/>
      <c r="H799" s="106"/>
      <c r="I799" s="106"/>
    </row>
    <row r="800" spans="6:9" x14ac:dyDescent="0.25">
      <c r="F800" s="106"/>
      <c r="G800" s="106"/>
      <c r="H800" s="106"/>
      <c r="I800" s="106"/>
    </row>
    <row r="801" spans="6:9" x14ac:dyDescent="0.25">
      <c r="F801" s="106"/>
      <c r="G801" s="106"/>
      <c r="H801" s="106"/>
      <c r="I801" s="106"/>
    </row>
    <row r="802" spans="6:9" x14ac:dyDescent="0.25">
      <c r="F802" s="106"/>
      <c r="G802" s="106"/>
      <c r="H802" s="106"/>
      <c r="I802" s="106"/>
    </row>
    <row r="803" spans="6:9" x14ac:dyDescent="0.25">
      <c r="F803" s="106"/>
      <c r="G803" s="106"/>
      <c r="H803" s="106"/>
      <c r="I803" s="106"/>
    </row>
    <row r="804" spans="6:9" x14ac:dyDescent="0.25">
      <c r="F804" s="106"/>
      <c r="G804" s="106"/>
      <c r="H804" s="106"/>
      <c r="I804" s="106"/>
    </row>
    <row r="805" spans="6:9" x14ac:dyDescent="0.25">
      <c r="F805" s="106"/>
      <c r="G805" s="106"/>
      <c r="H805" s="106"/>
      <c r="I805" s="106"/>
    </row>
    <row r="806" spans="6:9" x14ac:dyDescent="0.25">
      <c r="F806" s="106"/>
      <c r="G806" s="106"/>
      <c r="H806" s="106"/>
      <c r="I806" s="106"/>
    </row>
    <row r="807" spans="6:9" x14ac:dyDescent="0.25">
      <c r="F807" s="106"/>
      <c r="G807" s="106"/>
      <c r="H807" s="106"/>
      <c r="I807" s="106"/>
    </row>
    <row r="808" spans="6:9" x14ac:dyDescent="0.25">
      <c r="F808" s="106"/>
      <c r="G808" s="106"/>
      <c r="H808" s="106"/>
      <c r="I808" s="106"/>
    </row>
    <row r="809" spans="6:9" x14ac:dyDescent="0.25">
      <c r="F809" s="106"/>
      <c r="G809" s="106"/>
      <c r="H809" s="106"/>
      <c r="I809" s="106"/>
    </row>
    <row r="810" spans="6:9" x14ac:dyDescent="0.25">
      <c r="F810" s="106"/>
      <c r="G810" s="106"/>
      <c r="H810" s="106"/>
      <c r="I810" s="106"/>
    </row>
    <row r="811" spans="6:9" x14ac:dyDescent="0.25">
      <c r="F811" s="106"/>
      <c r="G811" s="106"/>
      <c r="H811" s="106"/>
      <c r="I811" s="106"/>
    </row>
    <row r="812" spans="6:9" x14ac:dyDescent="0.25">
      <c r="F812" s="106"/>
      <c r="G812" s="106"/>
      <c r="H812" s="106"/>
      <c r="I812" s="106"/>
    </row>
    <row r="813" spans="6:9" x14ac:dyDescent="0.25">
      <c r="F813" s="106"/>
      <c r="G813" s="106"/>
      <c r="H813" s="106"/>
      <c r="I813" s="106"/>
    </row>
    <row r="814" spans="6:9" x14ac:dyDescent="0.25">
      <c r="F814" s="106"/>
      <c r="G814" s="106"/>
      <c r="H814" s="106"/>
      <c r="I814" s="106"/>
    </row>
    <row r="815" spans="6:9" x14ac:dyDescent="0.25">
      <c r="F815" s="106"/>
      <c r="G815" s="106"/>
      <c r="H815" s="106"/>
      <c r="I815" s="106"/>
    </row>
    <row r="816" spans="6:9" x14ac:dyDescent="0.25">
      <c r="F816" s="106"/>
      <c r="G816" s="106"/>
      <c r="H816" s="106"/>
      <c r="I816" s="106"/>
    </row>
    <row r="817" spans="6:9" x14ac:dyDescent="0.25">
      <c r="F817" s="106"/>
      <c r="G817" s="106"/>
      <c r="H817" s="106"/>
      <c r="I817" s="106"/>
    </row>
    <row r="818" spans="6:9" x14ac:dyDescent="0.25">
      <c r="F818" s="106"/>
      <c r="G818" s="106"/>
      <c r="H818" s="106"/>
      <c r="I818" s="106"/>
    </row>
    <row r="819" spans="6:9" x14ac:dyDescent="0.25">
      <c r="F819" s="106"/>
      <c r="G819" s="106"/>
      <c r="H819" s="106"/>
      <c r="I819" s="106"/>
    </row>
    <row r="820" spans="6:9" x14ac:dyDescent="0.25">
      <c r="F820" s="106"/>
      <c r="G820" s="106"/>
      <c r="H820" s="106"/>
      <c r="I820" s="106"/>
    </row>
    <row r="821" spans="6:9" x14ac:dyDescent="0.25">
      <c r="F821" s="106"/>
      <c r="G821" s="106"/>
      <c r="H821" s="106"/>
      <c r="I821" s="106"/>
    </row>
    <row r="822" spans="6:9" x14ac:dyDescent="0.25">
      <c r="F822" s="106"/>
      <c r="G822" s="106"/>
      <c r="H822" s="106"/>
      <c r="I822" s="106"/>
    </row>
    <row r="823" spans="6:9" x14ac:dyDescent="0.25">
      <c r="F823" s="106"/>
      <c r="G823" s="106"/>
      <c r="H823" s="106"/>
      <c r="I823" s="106"/>
    </row>
    <row r="824" spans="6:9" x14ac:dyDescent="0.25">
      <c r="F824" s="106"/>
      <c r="G824" s="106"/>
      <c r="H824" s="106"/>
      <c r="I824" s="106"/>
    </row>
    <row r="825" spans="6:9" x14ac:dyDescent="0.25">
      <c r="F825" s="106"/>
      <c r="G825" s="106"/>
      <c r="H825" s="106"/>
      <c r="I825" s="106"/>
    </row>
    <row r="826" spans="6:9" x14ac:dyDescent="0.25">
      <c r="F826" s="106"/>
      <c r="G826" s="106"/>
      <c r="H826" s="106"/>
      <c r="I826" s="106"/>
    </row>
    <row r="827" spans="6:9" x14ac:dyDescent="0.25">
      <c r="F827" s="106"/>
      <c r="G827" s="106"/>
      <c r="H827" s="106"/>
      <c r="I827" s="106"/>
    </row>
    <row r="828" spans="6:9" x14ac:dyDescent="0.25">
      <c r="F828" s="106"/>
      <c r="G828" s="106"/>
      <c r="H828" s="106"/>
      <c r="I828" s="106"/>
    </row>
    <row r="829" spans="6:9" x14ac:dyDescent="0.25">
      <c r="F829" s="106"/>
      <c r="G829" s="106"/>
      <c r="H829" s="106"/>
      <c r="I829" s="106"/>
    </row>
    <row r="830" spans="6:9" x14ac:dyDescent="0.25">
      <c r="F830" s="106"/>
      <c r="G830" s="106"/>
      <c r="H830" s="106"/>
      <c r="I830" s="106"/>
    </row>
    <row r="831" spans="6:9" x14ac:dyDescent="0.25">
      <c r="F831" s="106"/>
      <c r="G831" s="106"/>
      <c r="H831" s="106"/>
      <c r="I831" s="106"/>
    </row>
    <row r="832" spans="6:9" x14ac:dyDescent="0.25">
      <c r="F832" s="106"/>
      <c r="G832" s="106"/>
      <c r="H832" s="106"/>
      <c r="I832" s="106"/>
    </row>
    <row r="833" spans="6:9" x14ac:dyDescent="0.25">
      <c r="F833" s="106"/>
      <c r="G833" s="106"/>
      <c r="H833" s="106"/>
      <c r="I833" s="106"/>
    </row>
    <row r="834" spans="6:9" x14ac:dyDescent="0.25">
      <c r="F834" s="106"/>
      <c r="G834" s="106"/>
      <c r="H834" s="106"/>
      <c r="I834" s="106"/>
    </row>
    <row r="835" spans="6:9" x14ac:dyDescent="0.25">
      <c r="F835" s="106"/>
      <c r="G835" s="106"/>
      <c r="H835" s="106"/>
      <c r="I835" s="106"/>
    </row>
    <row r="836" spans="6:9" x14ac:dyDescent="0.25">
      <c r="F836" s="106"/>
      <c r="G836" s="106"/>
      <c r="H836" s="106"/>
      <c r="I836" s="106"/>
    </row>
    <row r="837" spans="6:9" x14ac:dyDescent="0.25">
      <c r="F837" s="106"/>
      <c r="G837" s="106"/>
      <c r="H837" s="106"/>
      <c r="I837" s="106"/>
    </row>
    <row r="838" spans="6:9" x14ac:dyDescent="0.25">
      <c r="F838" s="106"/>
      <c r="G838" s="106"/>
      <c r="H838" s="106"/>
      <c r="I838" s="106"/>
    </row>
    <row r="839" spans="6:9" x14ac:dyDescent="0.25">
      <c r="F839" s="106"/>
      <c r="G839" s="106"/>
      <c r="H839" s="106"/>
      <c r="I839" s="106"/>
    </row>
    <row r="840" spans="6:9" x14ac:dyDescent="0.25">
      <c r="F840" s="106"/>
      <c r="G840" s="106"/>
      <c r="H840" s="106"/>
      <c r="I840" s="106"/>
    </row>
    <row r="841" spans="6:9" x14ac:dyDescent="0.25">
      <c r="F841" s="106"/>
      <c r="G841" s="106"/>
      <c r="H841" s="106"/>
      <c r="I841" s="106"/>
    </row>
    <row r="842" spans="6:9" x14ac:dyDescent="0.25">
      <c r="F842" s="106"/>
      <c r="G842" s="106"/>
      <c r="H842" s="106"/>
      <c r="I842" s="106"/>
    </row>
    <row r="843" spans="6:9" x14ac:dyDescent="0.25">
      <c r="F843" s="106"/>
      <c r="G843" s="106"/>
      <c r="H843" s="106"/>
      <c r="I843" s="106"/>
    </row>
    <row r="844" spans="6:9" x14ac:dyDescent="0.25">
      <c r="F844" s="106"/>
      <c r="G844" s="106"/>
      <c r="H844" s="106"/>
      <c r="I844" s="106"/>
    </row>
    <row r="845" spans="6:9" x14ac:dyDescent="0.25">
      <c r="F845" s="106"/>
      <c r="G845" s="106"/>
      <c r="H845" s="106"/>
      <c r="I845" s="106"/>
    </row>
    <row r="846" spans="6:9" x14ac:dyDescent="0.25">
      <c r="F846" s="106"/>
      <c r="G846" s="106"/>
      <c r="H846" s="106"/>
      <c r="I846" s="106"/>
    </row>
    <row r="847" spans="6:9" x14ac:dyDescent="0.25">
      <c r="F847" s="106"/>
      <c r="G847" s="106"/>
      <c r="H847" s="106"/>
      <c r="I847" s="106"/>
    </row>
    <row r="848" spans="6:9" x14ac:dyDescent="0.25">
      <c r="F848" s="106"/>
      <c r="G848" s="106"/>
      <c r="H848" s="106"/>
      <c r="I848" s="106"/>
    </row>
  </sheetData>
  <sheetProtection sheet="1" objects="1" scenarios="1"/>
  <mergeCells count="7">
    <mergeCell ref="F14:G14"/>
    <mergeCell ref="D20:D21"/>
    <mergeCell ref="E20:E21"/>
    <mergeCell ref="J20:Z20"/>
    <mergeCell ref="F20:F21"/>
    <mergeCell ref="G20:G21"/>
    <mergeCell ref="H20:I20"/>
  </mergeCells>
  <conditionalFormatting sqref="C22:Z4000">
    <cfRule type="expression" dxfId="71" priority="3">
      <formula>$C22&lt;&gt;""</formula>
    </cfRule>
  </conditionalFormatting>
  <pageMargins left="0.7" right="0.7" top="0.75" bottom="0.75" header="0.3" footer="0.3"/>
  <pageSetup paperSize="9" scale="54" fitToHeight="0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OpenForm_workingTimeSettlement_LOAD">
                <anchor moveWithCells="1" sizeWithCells="1">
                  <from>
                    <xdr:col>3</xdr:col>
                    <xdr:colOff>2857500</xdr:colOff>
                    <xdr:row>12</xdr:row>
                    <xdr:rowOff>180975</xdr:rowOff>
                  </from>
                  <to>
                    <xdr:col>3</xdr:col>
                    <xdr:colOff>4371975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OpenForm_workingTimeSettlement_ADD">
                <anchor moveWithCells="1" sizeWithCells="1">
                  <from>
                    <xdr:col>3</xdr:col>
                    <xdr:colOff>2867025</xdr:colOff>
                    <xdr:row>9</xdr:row>
                    <xdr:rowOff>9525</xdr:rowOff>
                  </from>
                  <to>
                    <xdr:col>3</xdr:col>
                    <xdr:colOff>4343400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Button 3">
              <controlPr defaultSize="0" print="0" autoFill="0" autoPict="0" macro="[0]!Open_workingTimeSettlement_doc">
                <anchor moveWithCells="1">
                  <from>
                    <xdr:col>3</xdr:col>
                    <xdr:colOff>219075</xdr:colOff>
                    <xdr:row>14</xdr:row>
                    <xdr:rowOff>28575</xdr:rowOff>
                  </from>
                  <to>
                    <xdr:col>3</xdr:col>
                    <xdr:colOff>1181100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Button 4">
              <controlPr defaultSize="0" print="0" autoFill="0" autoPict="0" macro="[0]!exportAsPDF_workingTimeSettlement">
                <anchor moveWithCells="1" sizeWithCells="1">
                  <from>
                    <xdr:col>3</xdr:col>
                    <xdr:colOff>1438275</xdr:colOff>
                    <xdr:row>12</xdr:row>
                    <xdr:rowOff>190500</xdr:rowOff>
                  </from>
                  <to>
                    <xdr:col>3</xdr:col>
                    <xdr:colOff>2590800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8E4FB-9678-4876-852A-3C5479B196BF}">
  <sheetPr codeName="Arkusz19">
    <tabColor rgb="FF2F74FF"/>
  </sheetPr>
  <dimension ref="A1:AG24"/>
  <sheetViews>
    <sheetView showGridLines="0" workbookViewId="0">
      <selection activeCell="O57" sqref="O57"/>
    </sheetView>
  </sheetViews>
  <sheetFormatPr defaultColWidth="0" defaultRowHeight="15" x14ac:dyDescent="0.25"/>
  <cols>
    <col min="1" max="3" width="9.140625" customWidth="1"/>
    <col min="4" max="4" width="9.140625" hidden="1" customWidth="1"/>
    <col min="5" max="5" width="33.85546875" customWidth="1"/>
    <col min="6" max="8" width="14.5703125" customWidth="1"/>
    <col min="9" max="11" width="9.140625" customWidth="1"/>
    <col min="12" max="12" width="9.140625" hidden="1" customWidth="1"/>
    <col min="13" max="13" width="35.85546875" customWidth="1"/>
    <col min="14" max="16" width="9.140625" customWidth="1"/>
    <col min="17" max="33" width="0" hidden="1" customWidth="1"/>
    <col min="34" max="16384" width="9.140625" hidden="1"/>
  </cols>
  <sheetData>
    <row r="1" spans="1:33" x14ac:dyDescent="0.25">
      <c r="A1" s="1"/>
      <c r="B1" s="1"/>
      <c r="C1" s="1"/>
      <c r="D1" s="1"/>
      <c r="E1" s="49"/>
      <c r="F1" s="49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</row>
    <row r="2" spans="1:33" ht="26.25" x14ac:dyDescent="0.25">
      <c r="A2" s="1"/>
      <c r="B2" s="1"/>
      <c r="C2" s="1"/>
      <c r="D2" s="1"/>
      <c r="E2" s="102" t="s">
        <v>196</v>
      </c>
      <c r="F2" s="49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</row>
    <row r="3" spans="1:33" x14ac:dyDescent="0.25">
      <c r="A3" s="1"/>
      <c r="B3" s="1"/>
      <c r="C3" s="1"/>
      <c r="D3" s="1"/>
      <c r="E3" s="23"/>
      <c r="F3" s="49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</row>
    <row r="4" spans="1:33" x14ac:dyDescent="0.25">
      <c r="A4" s="1"/>
      <c r="B4" s="1"/>
      <c r="C4" s="1"/>
      <c r="D4" s="1"/>
      <c r="E4" s="49"/>
      <c r="F4" s="49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</row>
    <row r="5" spans="1:33" x14ac:dyDescent="0.25">
      <c r="A5" s="1"/>
      <c r="B5" s="1"/>
      <c r="C5" s="1"/>
      <c r="D5" s="1"/>
      <c r="E5" s="49"/>
      <c r="F5" s="49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</row>
    <row r="6" spans="1:33" ht="15.75" thickBot="1" x14ac:dyDescent="0.3">
      <c r="A6" s="2"/>
      <c r="B6" s="2"/>
      <c r="C6" s="2"/>
      <c r="D6" s="2"/>
      <c r="E6" s="50"/>
      <c r="F6" s="50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  <c r="AG6" s="104"/>
    </row>
    <row r="9" spans="1:33" ht="15.75" x14ac:dyDescent="0.25">
      <c r="C9" s="26" t="s">
        <v>27</v>
      </c>
      <c r="D9" s="26">
        <v>2022</v>
      </c>
      <c r="E9" s="20">
        <v>2022</v>
      </c>
    </row>
    <row r="11" spans="1:33" hidden="1" x14ac:dyDescent="0.25"/>
    <row r="12" spans="1:33" hidden="1" x14ac:dyDescent="0.25"/>
    <row r="13" spans="1:33" hidden="1" x14ac:dyDescent="0.25"/>
    <row r="14" spans="1:33" hidden="1" x14ac:dyDescent="0.25"/>
    <row r="15" spans="1:33" hidden="1" x14ac:dyDescent="0.25"/>
    <row r="16" spans="1:33" hidden="1" x14ac:dyDescent="0.25"/>
    <row r="18" spans="3:14" x14ac:dyDescent="0.25">
      <c r="K18" s="165" t="s">
        <v>199</v>
      </c>
      <c r="L18" s="165"/>
    </row>
    <row r="20" spans="3:14" ht="31.5" x14ac:dyDescent="0.25">
      <c r="C20" s="11" t="s">
        <v>29</v>
      </c>
      <c r="D20" s="11"/>
      <c r="E20" s="12" t="s">
        <v>55</v>
      </c>
      <c r="F20" s="208" t="s">
        <v>54</v>
      </c>
      <c r="G20" s="208" t="s">
        <v>116</v>
      </c>
      <c r="H20" s="208" t="s">
        <v>195</v>
      </c>
      <c r="K20" s="11" t="s">
        <v>29</v>
      </c>
      <c r="L20" s="11"/>
      <c r="M20" s="12" t="s">
        <v>55</v>
      </c>
      <c r="N20" s="208" t="s">
        <v>198</v>
      </c>
    </row>
    <row r="21" spans="3:14" x14ac:dyDescent="0.25">
      <c r="C21" s="5"/>
      <c r="D21" s="5"/>
      <c r="E21" s="5"/>
      <c r="F21" s="5"/>
      <c r="G21" s="5"/>
      <c r="H21" s="5"/>
      <c r="K21" s="5"/>
      <c r="L21" s="5"/>
      <c r="M21" s="5"/>
      <c r="N21" s="5"/>
    </row>
    <row r="22" spans="3:14" x14ac:dyDescent="0.25">
      <c r="C22" s="5"/>
      <c r="D22" s="5"/>
      <c r="E22" s="5"/>
      <c r="F22" s="5"/>
      <c r="G22" s="5"/>
      <c r="H22" s="5"/>
      <c r="K22" s="5"/>
      <c r="L22" s="5"/>
      <c r="M22" s="5"/>
      <c r="N22" s="5"/>
    </row>
    <row r="23" spans="3:14" x14ac:dyDescent="0.25">
      <c r="C23" s="5"/>
      <c r="D23" s="5"/>
      <c r="E23" s="5"/>
      <c r="F23" s="5"/>
      <c r="G23" s="5"/>
      <c r="H23" s="5"/>
      <c r="K23" s="5"/>
      <c r="L23" s="5"/>
      <c r="M23" s="5"/>
      <c r="N23" s="5"/>
    </row>
    <row r="24" spans="3:14" x14ac:dyDescent="0.25">
      <c r="C24" s="5"/>
      <c r="D24" s="5"/>
      <c r="E24" s="5"/>
      <c r="F24" s="5"/>
      <c r="G24" s="5"/>
      <c r="H24" s="5"/>
      <c r="K24" s="5"/>
      <c r="L24" s="5"/>
      <c r="M24" s="5"/>
      <c r="N24" s="5"/>
    </row>
  </sheetData>
  <sheetProtection sheet="1" objects="1" scenarios="1"/>
  <conditionalFormatting sqref="C21:D3300">
    <cfRule type="expression" dxfId="70" priority="2">
      <formula>$C21&lt;&gt;""</formula>
    </cfRule>
    <cfRule type="expression" dxfId="69" priority="3">
      <formula>AND(activeRow_transfer=ROW(A21),$C21&lt;&gt;"")</formula>
    </cfRule>
  </conditionalFormatting>
  <conditionalFormatting sqref="K21:N3000">
    <cfRule type="expression" dxfId="68" priority="1">
      <formula>$K21&lt;&gt;""</formula>
    </cfRule>
  </conditionalFormatting>
  <conditionalFormatting sqref="E21:H3300">
    <cfRule type="expression" dxfId="67" priority="13">
      <formula>$C21&lt;&gt;""</formula>
    </cfRule>
    <cfRule type="expression" dxfId="66" priority="14">
      <formula>AND(activeRow_transfer=ROW(B21),$C21&lt;&gt;"")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3" name="Button 1">
              <controlPr defaultSize="0" print="0" autoFill="0" autoPict="0" macro="[0]!OpenForm_daysOfVaca_transfer_PickYear">
                <anchor moveWithCells="1">
                  <from>
                    <xdr:col>5</xdr:col>
                    <xdr:colOff>295275</xdr:colOff>
                    <xdr:row>7</xdr:row>
                    <xdr:rowOff>133350</xdr:rowOff>
                  </from>
                  <to>
                    <xdr:col>6</xdr:col>
                    <xdr:colOff>114300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4" name="Button 2">
              <controlPr defaultSize="0" print="0" autoFill="0" autoPict="0">
                <anchor moveWithCells="1">
                  <from>
                    <xdr:col>2</xdr:col>
                    <xdr:colOff>257175</xdr:colOff>
                    <xdr:row>16</xdr:row>
                    <xdr:rowOff>38100</xdr:rowOff>
                  </from>
                  <to>
                    <xdr:col>4</xdr:col>
                    <xdr:colOff>542925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5" name="Button 3">
              <controlPr defaultSize="0" print="0" autoFill="0" autoPict="0" macro="[0]!TransferOneWorkerFromButton">
                <anchor moveWithCells="1">
                  <from>
                    <xdr:col>4</xdr:col>
                    <xdr:colOff>857250</xdr:colOff>
                    <xdr:row>16</xdr:row>
                    <xdr:rowOff>28575</xdr:rowOff>
                  </from>
                  <to>
                    <xdr:col>4</xdr:col>
                    <xdr:colOff>1809750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8" r:id="rId6" name="Button 4">
              <controlPr defaultSize="0" print="0" autoFill="0" autoPict="0" macro="[0]!Open_daysOfVacations_transfer_doc">
                <anchor moveWithCells="1">
                  <from>
                    <xdr:col>6</xdr:col>
                    <xdr:colOff>762000</xdr:colOff>
                    <xdr:row>7</xdr:row>
                    <xdr:rowOff>9525</xdr:rowOff>
                  </from>
                  <to>
                    <xdr:col>7</xdr:col>
                    <xdr:colOff>704850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E79A1-2E0E-45C9-B331-E9AF7D7AB844}">
  <sheetPr codeName="Arkusz12">
    <tabColor theme="5" tint="0.39997558519241921"/>
  </sheetPr>
  <dimension ref="A1:W367"/>
  <sheetViews>
    <sheetView showGridLines="0" workbookViewId="0">
      <selection activeCell="D39" sqref="D39"/>
    </sheetView>
  </sheetViews>
  <sheetFormatPr defaultColWidth="0" defaultRowHeight="15" x14ac:dyDescent="0.25"/>
  <cols>
    <col min="1" max="3" width="9.140625" customWidth="1"/>
    <col min="4" max="4" width="61" customWidth="1"/>
    <col min="5" max="5" width="17.28515625" customWidth="1"/>
    <col min="6" max="6" width="20.5703125" customWidth="1"/>
    <col min="7" max="7" width="12.7109375" customWidth="1"/>
    <col min="8" max="8" width="12.28515625" customWidth="1"/>
    <col min="9" max="23" width="9.140625" customWidth="1"/>
    <col min="24" max="16384" width="9.140625" hidden="1"/>
  </cols>
  <sheetData>
    <row r="1" spans="1:23" x14ac:dyDescent="0.25">
      <c r="A1" s="1"/>
      <c r="B1" s="1"/>
      <c r="C1" s="1"/>
      <c r="D1" s="1"/>
      <c r="E1" s="1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</row>
    <row r="2" spans="1:23" ht="26.25" x14ac:dyDescent="0.4">
      <c r="A2" s="1"/>
      <c r="B2" s="1"/>
      <c r="C2" s="1"/>
      <c r="D2" s="3" t="s">
        <v>109</v>
      </c>
      <c r="E2" s="1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</row>
    <row r="3" spans="1:23" ht="18.75" x14ac:dyDescent="0.3">
      <c r="A3" s="1"/>
      <c r="B3" s="1"/>
      <c r="C3" s="1"/>
      <c r="D3" s="91" t="s">
        <v>108</v>
      </c>
      <c r="E3" s="75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</row>
    <row r="4" spans="1:23" ht="23.25" x14ac:dyDescent="0.35">
      <c r="A4" s="1"/>
      <c r="B4" s="1"/>
      <c r="C4" s="1"/>
      <c r="D4" s="1"/>
      <c r="E4" s="76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</row>
    <row r="5" spans="1:23" x14ac:dyDescent="0.25">
      <c r="A5" s="1"/>
      <c r="B5" s="1"/>
      <c r="C5" s="1"/>
      <c r="D5" s="1"/>
      <c r="E5" s="1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</row>
    <row r="6" spans="1:23" ht="15.75" thickBot="1" x14ac:dyDescent="0.3">
      <c r="A6" s="2"/>
      <c r="B6" s="2"/>
      <c r="C6" s="2"/>
      <c r="D6" s="2"/>
      <c r="E6" s="2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</row>
    <row r="9" spans="1:23" hidden="1" x14ac:dyDescent="0.25"/>
    <row r="10" spans="1:23" hidden="1" x14ac:dyDescent="0.25"/>
    <row r="11" spans="1:23" hidden="1" x14ac:dyDescent="0.25"/>
    <row r="12" spans="1:23" hidden="1" x14ac:dyDescent="0.25"/>
    <row r="13" spans="1:23" hidden="1" x14ac:dyDescent="0.25"/>
    <row r="14" spans="1:23" hidden="1" x14ac:dyDescent="0.25"/>
    <row r="15" spans="1:23" hidden="1" x14ac:dyDescent="0.25"/>
    <row r="16" spans="1:23" hidden="1" x14ac:dyDescent="0.25"/>
    <row r="17" spans="3:9" hidden="1" x14ac:dyDescent="0.25"/>
    <row r="20" spans="3:9" ht="30" x14ac:dyDescent="0.25">
      <c r="C20" s="88" t="s">
        <v>112</v>
      </c>
      <c r="D20" s="88" t="s">
        <v>113</v>
      </c>
      <c r="E20" s="88" t="s">
        <v>110</v>
      </c>
      <c r="F20" s="89" t="s">
        <v>111</v>
      </c>
      <c r="I20" s="23"/>
    </row>
    <row r="21" spans="3:9" x14ac:dyDescent="0.25">
      <c r="C21" s="41"/>
      <c r="D21" s="5"/>
      <c r="E21" s="5"/>
      <c r="F21" s="5"/>
    </row>
    <row r="22" spans="3:9" x14ac:dyDescent="0.25">
      <c r="C22" s="41"/>
      <c r="D22" s="5"/>
      <c r="E22" s="5"/>
      <c r="F22" s="5"/>
    </row>
    <row r="23" spans="3:9" x14ac:dyDescent="0.25">
      <c r="C23" s="41"/>
      <c r="D23" s="6"/>
      <c r="E23" s="5"/>
      <c r="F23" s="5"/>
    </row>
    <row r="24" spans="3:9" x14ac:dyDescent="0.25">
      <c r="C24" s="41"/>
      <c r="D24" s="6"/>
      <c r="E24" s="253"/>
      <c r="F24" s="41"/>
    </row>
    <row r="25" spans="3:9" x14ac:dyDescent="0.25">
      <c r="C25" s="41"/>
      <c r="D25" s="6"/>
      <c r="E25" s="253"/>
      <c r="F25" s="41"/>
    </row>
    <row r="26" spans="3:9" x14ac:dyDescent="0.25">
      <c r="C26" s="41"/>
      <c r="D26" s="5"/>
      <c r="E26" s="5"/>
      <c r="F26" s="5"/>
    </row>
    <row r="27" spans="3:9" x14ac:dyDescent="0.25">
      <c r="C27" s="41"/>
      <c r="D27" s="5"/>
      <c r="E27" s="5"/>
      <c r="F27" s="5"/>
    </row>
    <row r="28" spans="3:9" x14ac:dyDescent="0.25">
      <c r="C28" s="41"/>
      <c r="D28" s="5"/>
      <c r="E28" s="5"/>
      <c r="F28" s="5"/>
    </row>
    <row r="29" spans="3:9" x14ac:dyDescent="0.25">
      <c r="C29" s="41"/>
      <c r="D29" s="5"/>
      <c r="E29" s="5"/>
      <c r="F29" s="5"/>
    </row>
    <row r="30" spans="3:9" x14ac:dyDescent="0.25">
      <c r="C30" s="41"/>
      <c r="D30" s="5"/>
      <c r="E30" s="5"/>
      <c r="F30" s="5"/>
    </row>
    <row r="31" spans="3:9" x14ac:dyDescent="0.25">
      <c r="C31" s="41"/>
      <c r="D31" s="5"/>
      <c r="E31" s="5"/>
      <c r="F31" s="5"/>
    </row>
    <row r="32" spans="3:9" x14ac:dyDescent="0.25">
      <c r="C32" s="41"/>
      <c r="D32" s="5"/>
      <c r="E32" s="5"/>
      <c r="F32" s="5"/>
    </row>
    <row r="33" spans="3:6" x14ac:dyDescent="0.25">
      <c r="C33" s="41"/>
      <c r="D33" s="5"/>
      <c r="E33" s="5"/>
      <c r="F33" s="5"/>
    </row>
    <row r="34" spans="3:6" x14ac:dyDescent="0.25">
      <c r="C34" s="41"/>
      <c r="D34" s="5"/>
      <c r="E34" s="5"/>
      <c r="F34" s="5"/>
    </row>
    <row r="35" spans="3:6" x14ac:dyDescent="0.25">
      <c r="C35" s="41"/>
      <c r="D35" s="5"/>
      <c r="E35" s="5"/>
      <c r="F35" s="5"/>
    </row>
    <row r="36" spans="3:6" x14ac:dyDescent="0.25">
      <c r="C36" s="41"/>
      <c r="D36" s="5"/>
      <c r="E36" s="5"/>
      <c r="F36" s="5"/>
    </row>
    <row r="37" spans="3:6" x14ac:dyDescent="0.25">
      <c r="C37" s="41"/>
      <c r="D37" s="5"/>
      <c r="E37" s="5"/>
      <c r="F37" s="5"/>
    </row>
    <row r="38" spans="3:6" x14ac:dyDescent="0.25">
      <c r="C38" s="41"/>
      <c r="D38" s="5"/>
      <c r="E38" s="5"/>
      <c r="F38" s="5"/>
    </row>
    <row r="39" spans="3:6" x14ac:dyDescent="0.25">
      <c r="C39" s="41"/>
      <c r="D39" s="5"/>
      <c r="E39" s="5"/>
      <c r="F39" s="5"/>
    </row>
    <row r="40" spans="3:6" x14ac:dyDescent="0.25">
      <c r="C40" s="41"/>
      <c r="D40" s="5"/>
      <c r="E40" s="5"/>
      <c r="F40" s="5"/>
    </row>
    <row r="41" spans="3:6" x14ac:dyDescent="0.25">
      <c r="C41" s="39"/>
    </row>
    <row r="42" spans="3:6" x14ac:dyDescent="0.25">
      <c r="C42" s="39"/>
    </row>
    <row r="43" spans="3:6" x14ac:dyDescent="0.25">
      <c r="C43" s="39"/>
    </row>
    <row r="44" spans="3:6" x14ac:dyDescent="0.25">
      <c r="C44" s="39"/>
    </row>
    <row r="45" spans="3:6" x14ac:dyDescent="0.25">
      <c r="C45" s="39"/>
    </row>
    <row r="46" spans="3:6" x14ac:dyDescent="0.25">
      <c r="C46" s="39"/>
    </row>
    <row r="47" spans="3:6" x14ac:dyDescent="0.25">
      <c r="C47" s="39"/>
    </row>
    <row r="48" spans="3:6" x14ac:dyDescent="0.25">
      <c r="C48" s="39"/>
    </row>
    <row r="49" spans="3:3" x14ac:dyDescent="0.25">
      <c r="C49" s="39"/>
    </row>
    <row r="50" spans="3:3" x14ac:dyDescent="0.25">
      <c r="C50" s="39"/>
    </row>
    <row r="51" spans="3:3" x14ac:dyDescent="0.25">
      <c r="C51" s="39"/>
    </row>
    <row r="52" spans="3:3" x14ac:dyDescent="0.25">
      <c r="C52" s="39"/>
    </row>
    <row r="53" spans="3:3" x14ac:dyDescent="0.25">
      <c r="C53" s="39"/>
    </row>
    <row r="54" spans="3:3" x14ac:dyDescent="0.25">
      <c r="C54" s="39"/>
    </row>
    <row r="55" spans="3:3" x14ac:dyDescent="0.25">
      <c r="C55" s="39"/>
    </row>
    <row r="56" spans="3:3" x14ac:dyDescent="0.25">
      <c r="C56" s="39"/>
    </row>
    <row r="57" spans="3:3" x14ac:dyDescent="0.25">
      <c r="C57" s="39"/>
    </row>
    <row r="58" spans="3:3" x14ac:dyDescent="0.25">
      <c r="C58" s="39"/>
    </row>
    <row r="59" spans="3:3" x14ac:dyDescent="0.25">
      <c r="C59" s="39"/>
    </row>
    <row r="60" spans="3:3" x14ac:dyDescent="0.25">
      <c r="C60" s="39"/>
    </row>
    <row r="61" spans="3:3" x14ac:dyDescent="0.25">
      <c r="C61" s="39"/>
    </row>
    <row r="62" spans="3:3" x14ac:dyDescent="0.25">
      <c r="C62" s="39"/>
    </row>
    <row r="63" spans="3:3" x14ac:dyDescent="0.25">
      <c r="C63" s="39"/>
    </row>
    <row r="64" spans="3:3" x14ac:dyDescent="0.25">
      <c r="C64" s="39"/>
    </row>
    <row r="65" spans="3:3" x14ac:dyDescent="0.25">
      <c r="C65" s="39"/>
    </row>
    <row r="66" spans="3:3" x14ac:dyDescent="0.25">
      <c r="C66" s="39"/>
    </row>
    <row r="67" spans="3:3" x14ac:dyDescent="0.25">
      <c r="C67" s="39"/>
    </row>
    <row r="68" spans="3:3" x14ac:dyDescent="0.25">
      <c r="C68" s="39"/>
    </row>
    <row r="69" spans="3:3" x14ac:dyDescent="0.25">
      <c r="C69" s="39"/>
    </row>
    <row r="70" spans="3:3" x14ac:dyDescent="0.25">
      <c r="C70" s="39"/>
    </row>
    <row r="71" spans="3:3" x14ac:dyDescent="0.25">
      <c r="C71" s="39"/>
    </row>
    <row r="72" spans="3:3" x14ac:dyDescent="0.25">
      <c r="C72" s="39"/>
    </row>
    <row r="73" spans="3:3" x14ac:dyDescent="0.25">
      <c r="C73" s="39"/>
    </row>
    <row r="74" spans="3:3" x14ac:dyDescent="0.25">
      <c r="C74" s="39"/>
    </row>
    <row r="75" spans="3:3" x14ac:dyDescent="0.25">
      <c r="C75" s="39"/>
    </row>
    <row r="76" spans="3:3" x14ac:dyDescent="0.25">
      <c r="C76" s="39"/>
    </row>
    <row r="77" spans="3:3" x14ac:dyDescent="0.25">
      <c r="C77" s="39"/>
    </row>
    <row r="78" spans="3:3" x14ac:dyDescent="0.25">
      <c r="C78" s="39"/>
    </row>
    <row r="79" spans="3:3" x14ac:dyDescent="0.25">
      <c r="C79" s="39"/>
    </row>
    <row r="80" spans="3:3" x14ac:dyDescent="0.25">
      <c r="C80" s="39"/>
    </row>
    <row r="81" spans="3:3" x14ac:dyDescent="0.25">
      <c r="C81" s="39"/>
    </row>
    <row r="82" spans="3:3" x14ac:dyDescent="0.25">
      <c r="C82" s="39"/>
    </row>
    <row r="83" spans="3:3" x14ac:dyDescent="0.25">
      <c r="C83" s="39"/>
    </row>
    <row r="84" spans="3:3" x14ac:dyDescent="0.25">
      <c r="C84" s="39"/>
    </row>
    <row r="85" spans="3:3" x14ac:dyDescent="0.25">
      <c r="C85" s="39"/>
    </row>
    <row r="86" spans="3:3" x14ac:dyDescent="0.25">
      <c r="C86" s="39"/>
    </row>
    <row r="87" spans="3:3" x14ac:dyDescent="0.25">
      <c r="C87" s="39"/>
    </row>
    <row r="88" spans="3:3" x14ac:dyDescent="0.25">
      <c r="C88" s="39"/>
    </row>
    <row r="89" spans="3:3" x14ac:dyDescent="0.25">
      <c r="C89" s="39"/>
    </row>
    <row r="90" spans="3:3" x14ac:dyDescent="0.25">
      <c r="C90" s="39"/>
    </row>
    <row r="91" spans="3:3" x14ac:dyDescent="0.25">
      <c r="C91" s="39"/>
    </row>
    <row r="92" spans="3:3" x14ac:dyDescent="0.25">
      <c r="C92" s="39"/>
    </row>
    <row r="93" spans="3:3" x14ac:dyDescent="0.25">
      <c r="C93" s="39"/>
    </row>
    <row r="94" spans="3:3" x14ac:dyDescent="0.25">
      <c r="C94" s="39"/>
    </row>
    <row r="95" spans="3:3" x14ac:dyDescent="0.25">
      <c r="C95" s="39"/>
    </row>
    <row r="96" spans="3:3" x14ac:dyDescent="0.25">
      <c r="C96" s="39"/>
    </row>
    <row r="97" spans="3:3" x14ac:dyDescent="0.25">
      <c r="C97" s="39"/>
    </row>
    <row r="98" spans="3:3" x14ac:dyDescent="0.25">
      <c r="C98" s="39"/>
    </row>
    <row r="99" spans="3:3" x14ac:dyDescent="0.25">
      <c r="C99" s="39"/>
    </row>
    <row r="100" spans="3:3" x14ac:dyDescent="0.25">
      <c r="C100" s="39"/>
    </row>
    <row r="101" spans="3:3" x14ac:dyDescent="0.25">
      <c r="C101" s="39"/>
    </row>
    <row r="102" spans="3:3" x14ac:dyDescent="0.25">
      <c r="C102" s="39"/>
    </row>
    <row r="103" spans="3:3" x14ac:dyDescent="0.25">
      <c r="C103" s="39"/>
    </row>
    <row r="104" spans="3:3" x14ac:dyDescent="0.25">
      <c r="C104" s="39"/>
    </row>
    <row r="105" spans="3:3" x14ac:dyDescent="0.25">
      <c r="C105" s="39"/>
    </row>
    <row r="106" spans="3:3" x14ac:dyDescent="0.25">
      <c r="C106" s="39"/>
    </row>
    <row r="107" spans="3:3" x14ac:dyDescent="0.25">
      <c r="C107" s="39"/>
    </row>
    <row r="108" spans="3:3" x14ac:dyDescent="0.25">
      <c r="C108" s="39"/>
    </row>
    <row r="109" spans="3:3" x14ac:dyDescent="0.25">
      <c r="C109" s="39"/>
    </row>
    <row r="110" spans="3:3" x14ac:dyDescent="0.25">
      <c r="C110" s="39"/>
    </row>
    <row r="111" spans="3:3" x14ac:dyDescent="0.25">
      <c r="C111" s="39"/>
    </row>
    <row r="112" spans="3:3" x14ac:dyDescent="0.25">
      <c r="C112" s="39"/>
    </row>
    <row r="113" spans="3:3" x14ac:dyDescent="0.25">
      <c r="C113" s="39"/>
    </row>
    <row r="114" spans="3:3" x14ac:dyDescent="0.25">
      <c r="C114" s="39"/>
    </row>
    <row r="115" spans="3:3" x14ac:dyDescent="0.25">
      <c r="C115" s="39"/>
    </row>
    <row r="116" spans="3:3" x14ac:dyDescent="0.25">
      <c r="C116" s="39"/>
    </row>
    <row r="117" spans="3:3" x14ac:dyDescent="0.25">
      <c r="C117" s="39"/>
    </row>
    <row r="118" spans="3:3" x14ac:dyDescent="0.25">
      <c r="C118" s="39"/>
    </row>
    <row r="119" spans="3:3" x14ac:dyDescent="0.25">
      <c r="C119" s="39"/>
    </row>
    <row r="120" spans="3:3" x14ac:dyDescent="0.25">
      <c r="C120" s="39"/>
    </row>
    <row r="121" spans="3:3" x14ac:dyDescent="0.25">
      <c r="C121" s="39"/>
    </row>
    <row r="122" spans="3:3" x14ac:dyDescent="0.25">
      <c r="C122" s="39"/>
    </row>
    <row r="123" spans="3:3" x14ac:dyDescent="0.25">
      <c r="C123" s="39"/>
    </row>
    <row r="124" spans="3:3" x14ac:dyDescent="0.25">
      <c r="C124" s="39"/>
    </row>
    <row r="125" spans="3:3" x14ac:dyDescent="0.25">
      <c r="C125" s="39"/>
    </row>
    <row r="126" spans="3:3" x14ac:dyDescent="0.25">
      <c r="C126" s="39"/>
    </row>
    <row r="127" spans="3:3" x14ac:dyDescent="0.25">
      <c r="C127" s="39"/>
    </row>
    <row r="128" spans="3:3" x14ac:dyDescent="0.25">
      <c r="C128" s="39"/>
    </row>
    <row r="129" spans="3:3" x14ac:dyDescent="0.25">
      <c r="C129" s="39"/>
    </row>
    <row r="130" spans="3:3" x14ac:dyDescent="0.25">
      <c r="C130" s="39"/>
    </row>
    <row r="131" spans="3:3" x14ac:dyDescent="0.25">
      <c r="C131" s="39"/>
    </row>
    <row r="132" spans="3:3" x14ac:dyDescent="0.25">
      <c r="C132" s="39"/>
    </row>
    <row r="133" spans="3:3" x14ac:dyDescent="0.25">
      <c r="C133" s="39"/>
    </row>
    <row r="134" spans="3:3" x14ac:dyDescent="0.25">
      <c r="C134" s="39"/>
    </row>
    <row r="135" spans="3:3" x14ac:dyDescent="0.25">
      <c r="C135" s="39"/>
    </row>
    <row r="136" spans="3:3" x14ac:dyDescent="0.25">
      <c r="C136" s="39"/>
    </row>
    <row r="137" spans="3:3" x14ac:dyDescent="0.25">
      <c r="C137" s="39"/>
    </row>
    <row r="138" spans="3:3" x14ac:dyDescent="0.25">
      <c r="C138" s="39"/>
    </row>
    <row r="139" spans="3:3" x14ac:dyDescent="0.25">
      <c r="C139" s="39"/>
    </row>
    <row r="140" spans="3:3" x14ac:dyDescent="0.25">
      <c r="C140" s="39"/>
    </row>
    <row r="141" spans="3:3" x14ac:dyDescent="0.25">
      <c r="C141" s="39"/>
    </row>
    <row r="142" spans="3:3" x14ac:dyDescent="0.25">
      <c r="C142" s="39"/>
    </row>
    <row r="143" spans="3:3" x14ac:dyDescent="0.25">
      <c r="C143" s="39"/>
    </row>
    <row r="144" spans="3:3" x14ac:dyDescent="0.25">
      <c r="C144" s="39"/>
    </row>
    <row r="145" spans="3:3" x14ac:dyDescent="0.25">
      <c r="C145" s="39"/>
    </row>
    <row r="146" spans="3:3" x14ac:dyDescent="0.25">
      <c r="C146" s="39"/>
    </row>
    <row r="147" spans="3:3" x14ac:dyDescent="0.25">
      <c r="C147" s="39"/>
    </row>
    <row r="148" spans="3:3" x14ac:dyDescent="0.25">
      <c r="C148" s="39"/>
    </row>
    <row r="149" spans="3:3" x14ac:dyDescent="0.25">
      <c r="C149" s="39"/>
    </row>
    <row r="150" spans="3:3" x14ac:dyDescent="0.25">
      <c r="C150" s="39"/>
    </row>
    <row r="151" spans="3:3" x14ac:dyDescent="0.25">
      <c r="C151" s="39"/>
    </row>
    <row r="152" spans="3:3" x14ac:dyDescent="0.25">
      <c r="C152" s="39"/>
    </row>
    <row r="153" spans="3:3" x14ac:dyDescent="0.25">
      <c r="C153" s="39"/>
    </row>
    <row r="154" spans="3:3" x14ac:dyDescent="0.25">
      <c r="C154" s="39"/>
    </row>
    <row r="155" spans="3:3" x14ac:dyDescent="0.25">
      <c r="C155" s="39"/>
    </row>
    <row r="156" spans="3:3" x14ac:dyDescent="0.25">
      <c r="C156" s="39"/>
    </row>
    <row r="157" spans="3:3" x14ac:dyDescent="0.25">
      <c r="C157" s="39"/>
    </row>
    <row r="158" spans="3:3" x14ac:dyDescent="0.25">
      <c r="C158" s="39"/>
    </row>
    <row r="159" spans="3:3" x14ac:dyDescent="0.25">
      <c r="C159" s="39"/>
    </row>
    <row r="160" spans="3:3" x14ac:dyDescent="0.25">
      <c r="C160" s="39"/>
    </row>
    <row r="161" spans="3:3" x14ac:dyDescent="0.25">
      <c r="C161" s="39"/>
    </row>
    <row r="162" spans="3:3" x14ac:dyDescent="0.25">
      <c r="C162" s="39"/>
    </row>
    <row r="163" spans="3:3" x14ac:dyDescent="0.25">
      <c r="C163" s="39"/>
    </row>
    <row r="164" spans="3:3" x14ac:dyDescent="0.25">
      <c r="C164" s="39"/>
    </row>
    <row r="165" spans="3:3" x14ac:dyDescent="0.25">
      <c r="C165" s="39"/>
    </row>
    <row r="166" spans="3:3" x14ac:dyDescent="0.25">
      <c r="C166" s="39"/>
    </row>
    <row r="167" spans="3:3" x14ac:dyDescent="0.25">
      <c r="C167" s="39"/>
    </row>
    <row r="168" spans="3:3" x14ac:dyDescent="0.25">
      <c r="C168" s="39"/>
    </row>
    <row r="169" spans="3:3" x14ac:dyDescent="0.25">
      <c r="C169" s="39"/>
    </row>
    <row r="170" spans="3:3" x14ac:dyDescent="0.25">
      <c r="C170" s="39"/>
    </row>
    <row r="171" spans="3:3" x14ac:dyDescent="0.25">
      <c r="C171" s="39"/>
    </row>
    <row r="172" spans="3:3" x14ac:dyDescent="0.25">
      <c r="C172" s="39"/>
    </row>
    <row r="173" spans="3:3" x14ac:dyDescent="0.25">
      <c r="C173" s="39"/>
    </row>
    <row r="174" spans="3:3" x14ac:dyDescent="0.25">
      <c r="C174" s="39"/>
    </row>
    <row r="175" spans="3:3" x14ac:dyDescent="0.25">
      <c r="C175" s="39"/>
    </row>
    <row r="176" spans="3:3" x14ac:dyDescent="0.25">
      <c r="C176" s="39"/>
    </row>
    <row r="177" spans="3:3" x14ac:dyDescent="0.25">
      <c r="C177" s="39"/>
    </row>
    <row r="178" spans="3:3" x14ac:dyDescent="0.25">
      <c r="C178" s="39"/>
    </row>
    <row r="179" spans="3:3" x14ac:dyDescent="0.25">
      <c r="C179" s="39"/>
    </row>
    <row r="180" spans="3:3" x14ac:dyDescent="0.25">
      <c r="C180" s="39"/>
    </row>
    <row r="181" spans="3:3" x14ac:dyDescent="0.25">
      <c r="C181" s="39"/>
    </row>
    <row r="182" spans="3:3" x14ac:dyDescent="0.25">
      <c r="C182" s="39"/>
    </row>
    <row r="183" spans="3:3" x14ac:dyDescent="0.25">
      <c r="C183" s="39"/>
    </row>
    <row r="184" spans="3:3" x14ac:dyDescent="0.25">
      <c r="C184" s="39"/>
    </row>
    <row r="185" spans="3:3" x14ac:dyDescent="0.25">
      <c r="C185" s="39"/>
    </row>
    <row r="186" spans="3:3" x14ac:dyDescent="0.25">
      <c r="C186" s="39"/>
    </row>
    <row r="187" spans="3:3" x14ac:dyDescent="0.25">
      <c r="C187" s="39"/>
    </row>
    <row r="188" spans="3:3" x14ac:dyDescent="0.25">
      <c r="C188" s="39"/>
    </row>
    <row r="189" spans="3:3" x14ac:dyDescent="0.25">
      <c r="C189" s="39"/>
    </row>
    <row r="190" spans="3:3" x14ac:dyDescent="0.25">
      <c r="C190" s="39"/>
    </row>
    <row r="191" spans="3:3" x14ac:dyDescent="0.25">
      <c r="C191" s="39"/>
    </row>
    <row r="192" spans="3:3" x14ac:dyDescent="0.25">
      <c r="C192" s="39"/>
    </row>
    <row r="193" spans="3:3" x14ac:dyDescent="0.25">
      <c r="C193" s="39"/>
    </row>
    <row r="194" spans="3:3" x14ac:dyDescent="0.25">
      <c r="C194" s="39"/>
    </row>
    <row r="195" spans="3:3" x14ac:dyDescent="0.25">
      <c r="C195" s="39"/>
    </row>
    <row r="196" spans="3:3" x14ac:dyDescent="0.25">
      <c r="C196" s="39"/>
    </row>
    <row r="197" spans="3:3" x14ac:dyDescent="0.25">
      <c r="C197" s="39"/>
    </row>
    <row r="198" spans="3:3" x14ac:dyDescent="0.25">
      <c r="C198" s="39"/>
    </row>
    <row r="199" spans="3:3" x14ac:dyDescent="0.25">
      <c r="C199" s="39"/>
    </row>
    <row r="200" spans="3:3" x14ac:dyDescent="0.25">
      <c r="C200" s="39"/>
    </row>
    <row r="201" spans="3:3" x14ac:dyDescent="0.25">
      <c r="C201" s="39"/>
    </row>
    <row r="202" spans="3:3" x14ac:dyDescent="0.25">
      <c r="C202" s="39"/>
    </row>
    <row r="203" spans="3:3" x14ac:dyDescent="0.25">
      <c r="C203" s="39"/>
    </row>
    <row r="204" spans="3:3" x14ac:dyDescent="0.25">
      <c r="C204" s="39"/>
    </row>
    <row r="205" spans="3:3" x14ac:dyDescent="0.25">
      <c r="C205" s="39"/>
    </row>
    <row r="206" spans="3:3" x14ac:dyDescent="0.25">
      <c r="C206" s="39"/>
    </row>
    <row r="207" spans="3:3" x14ac:dyDescent="0.25">
      <c r="C207" s="39"/>
    </row>
    <row r="208" spans="3:3" x14ac:dyDescent="0.25">
      <c r="C208" s="39"/>
    </row>
    <row r="209" spans="3:3" x14ac:dyDescent="0.25">
      <c r="C209" s="39"/>
    </row>
    <row r="210" spans="3:3" x14ac:dyDescent="0.25">
      <c r="C210" s="39"/>
    </row>
    <row r="211" spans="3:3" x14ac:dyDescent="0.25">
      <c r="C211" s="39"/>
    </row>
    <row r="212" spans="3:3" x14ac:dyDescent="0.25">
      <c r="C212" s="39"/>
    </row>
    <row r="213" spans="3:3" x14ac:dyDescent="0.25">
      <c r="C213" s="39"/>
    </row>
    <row r="214" spans="3:3" x14ac:dyDescent="0.25">
      <c r="C214" s="39"/>
    </row>
    <row r="215" spans="3:3" x14ac:dyDescent="0.25">
      <c r="C215" s="39"/>
    </row>
    <row r="216" spans="3:3" x14ac:dyDescent="0.25">
      <c r="C216" s="39"/>
    </row>
    <row r="217" spans="3:3" x14ac:dyDescent="0.25">
      <c r="C217" s="39"/>
    </row>
    <row r="218" spans="3:3" x14ac:dyDescent="0.25">
      <c r="C218" s="39"/>
    </row>
    <row r="219" spans="3:3" x14ac:dyDescent="0.25">
      <c r="C219" s="39"/>
    </row>
    <row r="220" spans="3:3" x14ac:dyDescent="0.25">
      <c r="C220" s="39"/>
    </row>
    <row r="221" spans="3:3" x14ac:dyDescent="0.25">
      <c r="C221" s="39"/>
    </row>
    <row r="222" spans="3:3" x14ac:dyDescent="0.25">
      <c r="C222" s="39"/>
    </row>
    <row r="223" spans="3:3" x14ac:dyDescent="0.25">
      <c r="C223" s="39"/>
    </row>
    <row r="224" spans="3:3" x14ac:dyDescent="0.25">
      <c r="C224" s="39"/>
    </row>
    <row r="225" spans="3:3" x14ac:dyDescent="0.25">
      <c r="C225" s="39"/>
    </row>
    <row r="226" spans="3:3" x14ac:dyDescent="0.25">
      <c r="C226" s="39"/>
    </row>
    <row r="227" spans="3:3" x14ac:dyDescent="0.25">
      <c r="C227" s="39"/>
    </row>
    <row r="228" spans="3:3" x14ac:dyDescent="0.25">
      <c r="C228" s="39"/>
    </row>
    <row r="229" spans="3:3" x14ac:dyDescent="0.25">
      <c r="C229" s="39"/>
    </row>
    <row r="230" spans="3:3" x14ac:dyDescent="0.25">
      <c r="C230" s="39"/>
    </row>
    <row r="231" spans="3:3" x14ac:dyDescent="0.25">
      <c r="C231" s="39"/>
    </row>
    <row r="232" spans="3:3" x14ac:dyDescent="0.25">
      <c r="C232" s="39"/>
    </row>
    <row r="233" spans="3:3" x14ac:dyDescent="0.25">
      <c r="C233" s="39"/>
    </row>
    <row r="234" spans="3:3" x14ac:dyDescent="0.25">
      <c r="C234" s="39"/>
    </row>
    <row r="235" spans="3:3" x14ac:dyDescent="0.25">
      <c r="C235" s="39"/>
    </row>
    <row r="236" spans="3:3" x14ac:dyDescent="0.25">
      <c r="C236" s="39"/>
    </row>
    <row r="237" spans="3:3" x14ac:dyDescent="0.25">
      <c r="C237" s="39"/>
    </row>
    <row r="238" spans="3:3" x14ac:dyDescent="0.25">
      <c r="C238" s="39"/>
    </row>
    <row r="239" spans="3:3" x14ac:dyDescent="0.25">
      <c r="C239" s="39"/>
    </row>
    <row r="240" spans="3:3" x14ac:dyDescent="0.25">
      <c r="C240" s="39"/>
    </row>
    <row r="241" spans="3:3" x14ac:dyDescent="0.25">
      <c r="C241" s="39"/>
    </row>
    <row r="242" spans="3:3" x14ac:dyDescent="0.25">
      <c r="C242" s="39"/>
    </row>
    <row r="243" spans="3:3" x14ac:dyDescent="0.25">
      <c r="C243" s="39"/>
    </row>
    <row r="244" spans="3:3" x14ac:dyDescent="0.25">
      <c r="C244" s="39"/>
    </row>
    <row r="245" spans="3:3" x14ac:dyDescent="0.25">
      <c r="C245" s="39"/>
    </row>
    <row r="246" spans="3:3" x14ac:dyDescent="0.25">
      <c r="C246" s="39"/>
    </row>
    <row r="247" spans="3:3" x14ac:dyDescent="0.25">
      <c r="C247" s="39"/>
    </row>
    <row r="248" spans="3:3" x14ac:dyDescent="0.25">
      <c r="C248" s="39"/>
    </row>
    <row r="249" spans="3:3" x14ac:dyDescent="0.25">
      <c r="C249" s="39"/>
    </row>
    <row r="250" spans="3:3" x14ac:dyDescent="0.25">
      <c r="C250" s="39"/>
    </row>
    <row r="251" spans="3:3" x14ac:dyDescent="0.25">
      <c r="C251" s="39"/>
    </row>
    <row r="252" spans="3:3" x14ac:dyDescent="0.25">
      <c r="C252" s="39"/>
    </row>
    <row r="253" spans="3:3" x14ac:dyDescent="0.25">
      <c r="C253" s="39"/>
    </row>
    <row r="254" spans="3:3" x14ac:dyDescent="0.25">
      <c r="C254" s="39"/>
    </row>
    <row r="255" spans="3:3" x14ac:dyDescent="0.25">
      <c r="C255" s="39"/>
    </row>
    <row r="256" spans="3:3" x14ac:dyDescent="0.25">
      <c r="C256" s="39"/>
    </row>
    <row r="257" spans="3:3" x14ac:dyDescent="0.25">
      <c r="C257" s="39"/>
    </row>
    <row r="258" spans="3:3" x14ac:dyDescent="0.25">
      <c r="C258" s="39"/>
    </row>
    <row r="259" spans="3:3" x14ac:dyDescent="0.25">
      <c r="C259" s="39"/>
    </row>
    <row r="260" spans="3:3" x14ac:dyDescent="0.25">
      <c r="C260" s="39"/>
    </row>
    <row r="261" spans="3:3" x14ac:dyDescent="0.25">
      <c r="C261" s="39"/>
    </row>
    <row r="262" spans="3:3" x14ac:dyDescent="0.25">
      <c r="C262" s="39"/>
    </row>
    <row r="263" spans="3:3" x14ac:dyDescent="0.25">
      <c r="C263" s="39"/>
    </row>
    <row r="264" spans="3:3" x14ac:dyDescent="0.25">
      <c r="C264" s="39"/>
    </row>
    <row r="265" spans="3:3" x14ac:dyDescent="0.25">
      <c r="C265" s="39"/>
    </row>
    <row r="266" spans="3:3" x14ac:dyDescent="0.25">
      <c r="C266" s="39"/>
    </row>
    <row r="267" spans="3:3" x14ac:dyDescent="0.25">
      <c r="C267" s="39"/>
    </row>
    <row r="268" spans="3:3" x14ac:dyDescent="0.25">
      <c r="C268" s="39"/>
    </row>
    <row r="269" spans="3:3" x14ac:dyDescent="0.25">
      <c r="C269" s="39"/>
    </row>
    <row r="270" spans="3:3" x14ac:dyDescent="0.25">
      <c r="C270" s="39"/>
    </row>
    <row r="271" spans="3:3" x14ac:dyDescent="0.25">
      <c r="C271" s="39"/>
    </row>
    <row r="272" spans="3:3" x14ac:dyDescent="0.25">
      <c r="C272" s="39"/>
    </row>
    <row r="273" spans="3:3" x14ac:dyDescent="0.25">
      <c r="C273" s="39"/>
    </row>
    <row r="274" spans="3:3" x14ac:dyDescent="0.25">
      <c r="C274" s="39"/>
    </row>
    <row r="275" spans="3:3" x14ac:dyDescent="0.25">
      <c r="C275" s="39"/>
    </row>
    <row r="276" spans="3:3" x14ac:dyDescent="0.25">
      <c r="C276" s="39"/>
    </row>
    <row r="277" spans="3:3" x14ac:dyDescent="0.25">
      <c r="C277" s="39"/>
    </row>
    <row r="278" spans="3:3" x14ac:dyDescent="0.25">
      <c r="C278" s="39"/>
    </row>
    <row r="279" spans="3:3" x14ac:dyDescent="0.25">
      <c r="C279" s="39"/>
    </row>
    <row r="280" spans="3:3" x14ac:dyDescent="0.25">
      <c r="C280" s="39"/>
    </row>
    <row r="281" spans="3:3" x14ac:dyDescent="0.25">
      <c r="C281" s="39"/>
    </row>
    <row r="282" spans="3:3" x14ac:dyDescent="0.25">
      <c r="C282" s="39"/>
    </row>
    <row r="283" spans="3:3" x14ac:dyDescent="0.25">
      <c r="C283" s="39"/>
    </row>
    <row r="284" spans="3:3" x14ac:dyDescent="0.25">
      <c r="C284" s="39"/>
    </row>
    <row r="285" spans="3:3" x14ac:dyDescent="0.25">
      <c r="C285" s="39"/>
    </row>
    <row r="286" spans="3:3" x14ac:dyDescent="0.25">
      <c r="C286" s="39"/>
    </row>
    <row r="287" spans="3:3" x14ac:dyDescent="0.25">
      <c r="C287" s="39"/>
    </row>
    <row r="288" spans="3:3" x14ac:dyDescent="0.25">
      <c r="C288" s="39"/>
    </row>
    <row r="289" spans="3:3" x14ac:dyDescent="0.25">
      <c r="C289" s="39"/>
    </row>
    <row r="290" spans="3:3" x14ac:dyDescent="0.25">
      <c r="C290" s="39"/>
    </row>
    <row r="291" spans="3:3" x14ac:dyDescent="0.25">
      <c r="C291" s="39"/>
    </row>
    <row r="292" spans="3:3" x14ac:dyDescent="0.25">
      <c r="C292" s="39"/>
    </row>
    <row r="293" spans="3:3" x14ac:dyDescent="0.25">
      <c r="C293" s="39"/>
    </row>
    <row r="294" spans="3:3" x14ac:dyDescent="0.25">
      <c r="C294" s="39"/>
    </row>
    <row r="295" spans="3:3" x14ac:dyDescent="0.25">
      <c r="C295" s="39"/>
    </row>
    <row r="296" spans="3:3" x14ac:dyDescent="0.25">
      <c r="C296" s="39"/>
    </row>
    <row r="297" spans="3:3" x14ac:dyDescent="0.25">
      <c r="C297" s="39"/>
    </row>
    <row r="298" spans="3:3" x14ac:dyDescent="0.25">
      <c r="C298" s="39"/>
    </row>
    <row r="299" spans="3:3" x14ac:dyDescent="0.25">
      <c r="C299" s="39"/>
    </row>
    <row r="300" spans="3:3" x14ac:dyDescent="0.25">
      <c r="C300" s="39"/>
    </row>
    <row r="301" spans="3:3" x14ac:dyDescent="0.25">
      <c r="C301" s="39"/>
    </row>
    <row r="302" spans="3:3" x14ac:dyDescent="0.25">
      <c r="C302" s="39"/>
    </row>
    <row r="303" spans="3:3" x14ac:dyDescent="0.25">
      <c r="C303" s="39"/>
    </row>
    <row r="304" spans="3:3" x14ac:dyDescent="0.25">
      <c r="C304" s="39"/>
    </row>
    <row r="305" spans="3:3" x14ac:dyDescent="0.25">
      <c r="C305" s="39"/>
    </row>
    <row r="306" spans="3:3" x14ac:dyDescent="0.25">
      <c r="C306" s="39"/>
    </row>
    <row r="307" spans="3:3" x14ac:dyDescent="0.25">
      <c r="C307" s="39"/>
    </row>
    <row r="308" spans="3:3" x14ac:dyDescent="0.25">
      <c r="C308" s="39"/>
    </row>
    <row r="309" spans="3:3" x14ac:dyDescent="0.25">
      <c r="C309" s="39"/>
    </row>
    <row r="310" spans="3:3" x14ac:dyDescent="0.25">
      <c r="C310" s="39"/>
    </row>
    <row r="311" spans="3:3" x14ac:dyDescent="0.25">
      <c r="C311" s="39"/>
    </row>
    <row r="312" spans="3:3" x14ac:dyDescent="0.25">
      <c r="C312" s="39"/>
    </row>
    <row r="313" spans="3:3" x14ac:dyDescent="0.25">
      <c r="C313" s="39"/>
    </row>
    <row r="314" spans="3:3" x14ac:dyDescent="0.25">
      <c r="C314" s="39"/>
    </row>
    <row r="315" spans="3:3" x14ac:dyDescent="0.25">
      <c r="C315" s="39"/>
    </row>
    <row r="316" spans="3:3" x14ac:dyDescent="0.25">
      <c r="C316" s="39"/>
    </row>
    <row r="317" spans="3:3" x14ac:dyDescent="0.25">
      <c r="C317" s="39"/>
    </row>
    <row r="318" spans="3:3" x14ac:dyDescent="0.25">
      <c r="C318" s="39"/>
    </row>
    <row r="319" spans="3:3" x14ac:dyDescent="0.25">
      <c r="C319" s="39"/>
    </row>
    <row r="320" spans="3:3" x14ac:dyDescent="0.25">
      <c r="C320" s="39"/>
    </row>
    <row r="321" spans="3:3" x14ac:dyDescent="0.25">
      <c r="C321" s="39"/>
    </row>
    <row r="322" spans="3:3" x14ac:dyDescent="0.25">
      <c r="C322" s="39"/>
    </row>
    <row r="323" spans="3:3" x14ac:dyDescent="0.25">
      <c r="C323" s="39"/>
    </row>
    <row r="324" spans="3:3" x14ac:dyDescent="0.25">
      <c r="C324" s="39"/>
    </row>
    <row r="325" spans="3:3" x14ac:dyDescent="0.25">
      <c r="C325" s="39"/>
    </row>
    <row r="326" spans="3:3" x14ac:dyDescent="0.25">
      <c r="C326" s="39"/>
    </row>
    <row r="327" spans="3:3" x14ac:dyDescent="0.25">
      <c r="C327" s="39"/>
    </row>
    <row r="328" spans="3:3" x14ac:dyDescent="0.25">
      <c r="C328" s="39"/>
    </row>
    <row r="329" spans="3:3" x14ac:dyDescent="0.25">
      <c r="C329" s="39"/>
    </row>
    <row r="330" spans="3:3" x14ac:dyDescent="0.25">
      <c r="C330" s="39"/>
    </row>
    <row r="331" spans="3:3" x14ac:dyDescent="0.25">
      <c r="C331" s="39"/>
    </row>
    <row r="332" spans="3:3" x14ac:dyDescent="0.25">
      <c r="C332" s="39"/>
    </row>
    <row r="333" spans="3:3" x14ac:dyDescent="0.25">
      <c r="C333" s="39"/>
    </row>
    <row r="334" spans="3:3" x14ac:dyDescent="0.25">
      <c r="C334" s="39"/>
    </row>
    <row r="335" spans="3:3" x14ac:dyDescent="0.25">
      <c r="C335" s="39"/>
    </row>
    <row r="336" spans="3:3" x14ac:dyDescent="0.25">
      <c r="C336" s="39"/>
    </row>
    <row r="337" spans="3:3" x14ac:dyDescent="0.25">
      <c r="C337" s="39"/>
    </row>
    <row r="338" spans="3:3" x14ac:dyDescent="0.25">
      <c r="C338" s="39"/>
    </row>
    <row r="339" spans="3:3" x14ac:dyDescent="0.25">
      <c r="C339" s="39"/>
    </row>
    <row r="340" spans="3:3" x14ac:dyDescent="0.25">
      <c r="C340" s="39"/>
    </row>
    <row r="341" spans="3:3" x14ac:dyDescent="0.25">
      <c r="C341" s="39"/>
    </row>
    <row r="342" spans="3:3" x14ac:dyDescent="0.25">
      <c r="C342" s="39"/>
    </row>
    <row r="343" spans="3:3" x14ac:dyDescent="0.25">
      <c r="C343" s="39"/>
    </row>
    <row r="344" spans="3:3" x14ac:dyDescent="0.25">
      <c r="C344" s="39"/>
    </row>
    <row r="345" spans="3:3" x14ac:dyDescent="0.25">
      <c r="C345" s="39"/>
    </row>
    <row r="346" spans="3:3" x14ac:dyDescent="0.25">
      <c r="C346" s="39"/>
    </row>
    <row r="347" spans="3:3" x14ac:dyDescent="0.25">
      <c r="C347" s="39"/>
    </row>
    <row r="348" spans="3:3" x14ac:dyDescent="0.25">
      <c r="C348" s="39"/>
    </row>
    <row r="349" spans="3:3" x14ac:dyDescent="0.25">
      <c r="C349" s="39"/>
    </row>
    <row r="350" spans="3:3" x14ac:dyDescent="0.25">
      <c r="C350" s="39"/>
    </row>
    <row r="351" spans="3:3" x14ac:dyDescent="0.25">
      <c r="C351" s="39"/>
    </row>
    <row r="352" spans="3:3" x14ac:dyDescent="0.25">
      <c r="C352" s="39"/>
    </row>
    <row r="353" spans="3:3" x14ac:dyDescent="0.25">
      <c r="C353" s="39"/>
    </row>
    <row r="354" spans="3:3" x14ac:dyDescent="0.25">
      <c r="C354" s="39"/>
    </row>
    <row r="355" spans="3:3" x14ac:dyDescent="0.25">
      <c r="C355" s="39"/>
    </row>
    <row r="356" spans="3:3" x14ac:dyDescent="0.25">
      <c r="C356" s="39"/>
    </row>
    <row r="357" spans="3:3" x14ac:dyDescent="0.25">
      <c r="C357" s="39"/>
    </row>
    <row r="358" spans="3:3" x14ac:dyDescent="0.25">
      <c r="C358" s="39"/>
    </row>
    <row r="359" spans="3:3" x14ac:dyDescent="0.25">
      <c r="C359" s="39"/>
    </row>
    <row r="360" spans="3:3" x14ac:dyDescent="0.25">
      <c r="C360" s="39"/>
    </row>
    <row r="361" spans="3:3" x14ac:dyDescent="0.25">
      <c r="C361" s="39"/>
    </row>
    <row r="362" spans="3:3" x14ac:dyDescent="0.25">
      <c r="C362" s="39"/>
    </row>
    <row r="363" spans="3:3" x14ac:dyDescent="0.25">
      <c r="C363" s="39"/>
    </row>
    <row r="364" spans="3:3" x14ac:dyDescent="0.25">
      <c r="C364" s="39"/>
    </row>
    <row r="365" spans="3:3" x14ac:dyDescent="0.25">
      <c r="C365" s="39"/>
    </row>
    <row r="366" spans="3:3" x14ac:dyDescent="0.25">
      <c r="C366" s="39"/>
    </row>
    <row r="367" spans="3:3" x14ac:dyDescent="0.25">
      <c r="C367" s="39"/>
    </row>
  </sheetData>
  <sheetProtection sheet="1" objects="1" scenarios="1"/>
  <conditionalFormatting sqref="C21:F500">
    <cfRule type="expression" dxfId="65" priority="2">
      <formula>$C21&lt;&gt;""</formula>
    </cfRule>
  </conditionalFormatting>
  <conditionalFormatting sqref="F21:F40">
    <cfRule type="colorScale" priority="1">
      <colorScale>
        <cfvo type="num" val="0"/>
        <cfvo type="num" val="30"/>
        <cfvo type="num" val="60"/>
        <color theme="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1D921-97F1-4CFC-BEF7-9AC0C63AFE7E}">
  <sheetPr codeName="Arkusz13">
    <tabColor theme="5" tint="0.39997558519241921"/>
  </sheetPr>
  <dimension ref="A1:AB410"/>
  <sheetViews>
    <sheetView showGridLines="0" workbookViewId="0">
      <selection activeCell="F29" sqref="F29"/>
    </sheetView>
  </sheetViews>
  <sheetFormatPr defaultRowHeight="15" x14ac:dyDescent="0.25"/>
  <cols>
    <col min="4" max="4" width="11.28515625" customWidth="1"/>
    <col min="5" max="5" width="15" customWidth="1"/>
    <col min="6" max="6" width="31.140625" customWidth="1"/>
    <col min="7" max="7" width="21.140625" customWidth="1"/>
    <col min="8" max="8" width="19.28515625" customWidth="1"/>
    <col min="9" max="10" width="0" hidden="1" customWidth="1"/>
    <col min="11" max="11" width="17.140625" customWidth="1"/>
    <col min="12" max="12" width="18.42578125" customWidth="1"/>
  </cols>
  <sheetData>
    <row r="1" spans="1:28" x14ac:dyDescent="0.25">
      <c r="A1" s="1"/>
      <c r="B1" s="1"/>
      <c r="C1" s="1"/>
      <c r="D1" s="1"/>
      <c r="E1" s="1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</row>
    <row r="2" spans="1:28" ht="26.25" x14ac:dyDescent="0.4">
      <c r="A2" s="1"/>
      <c r="B2" s="1"/>
      <c r="C2" s="1"/>
      <c r="D2" s="3" t="s">
        <v>114</v>
      </c>
      <c r="E2" s="1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</row>
    <row r="3" spans="1:28" ht="18.75" x14ac:dyDescent="0.3">
      <c r="A3" s="1"/>
      <c r="B3" s="1"/>
      <c r="C3" s="1"/>
      <c r="D3" s="91" t="s">
        <v>108</v>
      </c>
      <c r="E3" s="75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</row>
    <row r="4" spans="1:28" ht="23.25" x14ac:dyDescent="0.35">
      <c r="A4" s="1"/>
      <c r="B4" s="1"/>
      <c r="C4" s="1"/>
      <c r="D4" s="1"/>
      <c r="E4" s="76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</row>
    <row r="5" spans="1:28" x14ac:dyDescent="0.25">
      <c r="A5" s="1"/>
      <c r="B5" s="1"/>
      <c r="C5" s="1"/>
      <c r="D5" s="1"/>
      <c r="E5" s="1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</row>
    <row r="6" spans="1:28" ht="15.75" thickBot="1" x14ac:dyDescent="0.3">
      <c r="A6" s="2"/>
      <c r="B6" s="2"/>
      <c r="C6" s="2"/>
      <c r="D6" s="2"/>
      <c r="E6" s="2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</row>
    <row r="9" spans="1:28" x14ac:dyDescent="0.25">
      <c r="D9" s="93"/>
      <c r="E9" s="94"/>
      <c r="F9" s="94"/>
      <c r="G9" s="94"/>
      <c r="H9" s="94"/>
      <c r="I9" s="95"/>
      <c r="J9" s="95"/>
      <c r="K9" s="95"/>
    </row>
    <row r="10" spans="1:28" x14ac:dyDescent="0.25">
      <c r="D10" s="77"/>
      <c r="E10" s="8"/>
      <c r="F10" s="79" t="s">
        <v>119</v>
      </c>
      <c r="G10" s="96"/>
      <c r="H10" s="8"/>
      <c r="I10" s="78"/>
      <c r="J10" s="78"/>
      <c r="K10" s="78"/>
    </row>
    <row r="11" spans="1:28" x14ac:dyDescent="0.25">
      <c r="D11" s="77"/>
      <c r="E11" s="79"/>
      <c r="F11" s="79" t="s">
        <v>117</v>
      </c>
      <c r="G11" s="97"/>
      <c r="H11" s="8"/>
      <c r="I11" s="78"/>
      <c r="J11" s="78"/>
      <c r="K11" s="78"/>
    </row>
    <row r="12" spans="1:28" x14ac:dyDescent="0.25">
      <c r="D12" s="77"/>
      <c r="E12" s="79"/>
      <c r="F12" s="79" t="s">
        <v>118</v>
      </c>
      <c r="G12" s="97"/>
      <c r="H12" s="8"/>
      <c r="I12" s="78"/>
      <c r="J12" s="78"/>
      <c r="K12" s="78"/>
    </row>
    <row r="13" spans="1:28" x14ac:dyDescent="0.25">
      <c r="D13" s="77"/>
      <c r="E13" s="79"/>
      <c r="F13" s="79" t="s">
        <v>102</v>
      </c>
      <c r="G13" s="98"/>
      <c r="H13" s="8"/>
      <c r="I13" s="78"/>
      <c r="J13" s="78"/>
      <c r="K13" s="78"/>
    </row>
    <row r="14" spans="1:28" x14ac:dyDescent="0.25">
      <c r="D14" s="80"/>
      <c r="E14" s="81"/>
      <c r="F14" s="81"/>
      <c r="G14" s="81"/>
      <c r="H14" s="81"/>
      <c r="I14" s="82"/>
      <c r="J14" s="82"/>
      <c r="K14" s="82"/>
    </row>
    <row r="18" spans="3:12" x14ac:dyDescent="0.25">
      <c r="D18" t="s">
        <v>130</v>
      </c>
    </row>
    <row r="20" spans="3:12" ht="24" x14ac:dyDescent="0.25">
      <c r="C20" s="92" t="s">
        <v>1</v>
      </c>
      <c r="D20" s="88" t="s">
        <v>2</v>
      </c>
      <c r="E20" s="88" t="s">
        <v>3</v>
      </c>
      <c r="F20" s="88" t="s">
        <v>77</v>
      </c>
      <c r="G20" s="88" t="s">
        <v>4</v>
      </c>
      <c r="H20" s="88" t="s">
        <v>5</v>
      </c>
      <c r="I20" s="88" t="s">
        <v>6</v>
      </c>
      <c r="J20" s="88" t="s">
        <v>7</v>
      </c>
      <c r="K20" s="88" t="s">
        <v>8</v>
      </c>
      <c r="L20" s="88" t="s">
        <v>9</v>
      </c>
    </row>
    <row r="21" spans="3:12" x14ac:dyDescent="0.25">
      <c r="C21" s="24"/>
      <c r="D21" s="24"/>
      <c r="E21" s="24"/>
      <c r="F21" s="24"/>
      <c r="G21" s="24"/>
      <c r="H21" s="24"/>
      <c r="I21" s="24"/>
      <c r="J21" s="24"/>
      <c r="K21" s="99"/>
      <c r="L21" s="99"/>
    </row>
    <row r="22" spans="3:12" x14ac:dyDescent="0.25">
      <c r="C22" s="24"/>
      <c r="D22" s="24"/>
      <c r="E22" s="24"/>
      <c r="F22" s="24"/>
      <c r="G22" s="24"/>
      <c r="H22" s="24"/>
      <c r="I22" s="24"/>
      <c r="J22" s="24"/>
      <c r="K22" s="99"/>
      <c r="L22" s="99"/>
    </row>
    <row r="23" spans="3:12" x14ac:dyDescent="0.25">
      <c r="C23" s="24"/>
      <c r="D23" s="24"/>
      <c r="E23" s="24"/>
      <c r="F23" s="24"/>
      <c r="G23" s="24"/>
      <c r="H23" s="24"/>
      <c r="I23" s="24"/>
      <c r="J23" s="24"/>
      <c r="K23" s="99"/>
      <c r="L23" s="99"/>
    </row>
    <row r="24" spans="3:12" x14ac:dyDescent="0.25">
      <c r="C24" s="24"/>
      <c r="D24" s="24"/>
      <c r="E24" s="24"/>
      <c r="F24" s="24"/>
      <c r="G24" s="24"/>
      <c r="H24" s="24"/>
      <c r="I24" s="24"/>
      <c r="J24" s="24"/>
      <c r="K24" s="99"/>
      <c r="L24" s="99"/>
    </row>
    <row r="25" spans="3:12" x14ac:dyDescent="0.25">
      <c r="C25" s="24"/>
      <c r="D25" s="24"/>
      <c r="E25" s="24"/>
      <c r="F25" s="24"/>
      <c r="G25" s="24"/>
      <c r="H25" s="24"/>
      <c r="I25" s="24"/>
      <c r="J25" s="24"/>
      <c r="K25" s="99"/>
      <c r="L25" s="99"/>
    </row>
    <row r="26" spans="3:12" x14ac:dyDescent="0.25">
      <c r="C26" s="24"/>
      <c r="D26" s="24"/>
      <c r="E26" s="24"/>
      <c r="F26" s="24"/>
      <c r="G26" s="24"/>
      <c r="H26" s="24"/>
      <c r="I26" s="24"/>
      <c r="J26" s="24"/>
      <c r="K26" s="99"/>
      <c r="L26" s="99"/>
    </row>
    <row r="27" spans="3:12" x14ac:dyDescent="0.25">
      <c r="C27" s="24"/>
      <c r="D27" s="24"/>
      <c r="E27" s="24"/>
      <c r="F27" s="24"/>
      <c r="G27" s="24"/>
      <c r="H27" s="24"/>
      <c r="I27" s="24"/>
      <c r="J27" s="24"/>
      <c r="K27" s="99"/>
      <c r="L27" s="99"/>
    </row>
    <row r="28" spans="3:12" x14ac:dyDescent="0.25">
      <c r="C28" s="24"/>
      <c r="D28" s="24"/>
      <c r="E28" s="24"/>
      <c r="F28" s="24"/>
      <c r="G28" s="24"/>
      <c r="H28" s="24"/>
      <c r="I28" s="24"/>
      <c r="J28" s="24"/>
      <c r="K28" s="99"/>
      <c r="L28" s="99"/>
    </row>
    <row r="29" spans="3:12" x14ac:dyDescent="0.25">
      <c r="C29" s="24"/>
      <c r="D29" s="24"/>
      <c r="E29" s="24"/>
      <c r="F29" s="24"/>
      <c r="G29" s="24"/>
      <c r="H29" s="24"/>
      <c r="I29" s="24"/>
      <c r="J29" s="24"/>
      <c r="K29" s="99"/>
      <c r="L29" s="99"/>
    </row>
    <row r="30" spans="3:12" x14ac:dyDescent="0.25">
      <c r="C30" s="24"/>
      <c r="D30" s="24"/>
      <c r="E30" s="24"/>
      <c r="F30" s="24"/>
      <c r="G30" s="24"/>
      <c r="H30" s="24"/>
      <c r="I30" s="24"/>
      <c r="J30" s="24"/>
      <c r="K30" s="99"/>
      <c r="L30" s="99"/>
    </row>
    <row r="31" spans="3:12" x14ac:dyDescent="0.25">
      <c r="C31" s="23"/>
      <c r="D31" s="23"/>
      <c r="E31" s="23"/>
      <c r="F31" s="23"/>
      <c r="G31" s="23"/>
      <c r="H31" s="23"/>
      <c r="I31" s="23"/>
      <c r="J31" s="23"/>
      <c r="K31" s="100"/>
      <c r="L31" s="100"/>
    </row>
    <row r="32" spans="3:12" x14ac:dyDescent="0.25">
      <c r="C32" s="23"/>
      <c r="D32" s="23"/>
      <c r="E32" s="23"/>
      <c r="F32" s="23"/>
      <c r="G32" s="23"/>
      <c r="H32" s="23"/>
      <c r="I32" s="23"/>
      <c r="J32" s="23"/>
      <c r="K32" s="100"/>
      <c r="L32" s="100"/>
    </row>
    <row r="33" spans="3:12" x14ac:dyDescent="0.25">
      <c r="C33" s="23"/>
      <c r="D33" s="23"/>
      <c r="E33" s="23"/>
      <c r="F33" s="23"/>
      <c r="G33" s="23"/>
      <c r="H33" s="23"/>
      <c r="I33" s="23"/>
      <c r="J33" s="23"/>
      <c r="K33" s="100"/>
      <c r="L33" s="100"/>
    </row>
    <row r="34" spans="3:12" x14ac:dyDescent="0.25">
      <c r="C34" s="23"/>
      <c r="D34" s="23"/>
      <c r="E34" s="23"/>
      <c r="F34" s="23"/>
      <c r="G34" s="23"/>
      <c r="H34" s="23"/>
      <c r="I34" s="23"/>
      <c r="J34" s="23"/>
      <c r="K34" s="100"/>
      <c r="L34" s="100"/>
    </row>
    <row r="35" spans="3:12" x14ac:dyDescent="0.25">
      <c r="C35" s="23"/>
      <c r="D35" s="23"/>
      <c r="E35" s="23"/>
      <c r="F35" s="23"/>
      <c r="G35" s="23"/>
      <c r="H35" s="23"/>
      <c r="I35" s="23"/>
      <c r="J35" s="23"/>
      <c r="K35" s="100"/>
      <c r="L35" s="100"/>
    </row>
    <row r="36" spans="3:12" x14ac:dyDescent="0.25">
      <c r="C36" s="23"/>
      <c r="D36" s="23"/>
      <c r="E36" s="23"/>
      <c r="F36" s="23"/>
      <c r="G36" s="23"/>
      <c r="H36" s="23"/>
      <c r="I36" s="23"/>
      <c r="J36" s="23"/>
      <c r="K36" s="100"/>
      <c r="L36" s="100"/>
    </row>
    <row r="37" spans="3:12" x14ac:dyDescent="0.25">
      <c r="C37" s="23"/>
      <c r="D37" s="23"/>
      <c r="E37" s="23"/>
      <c r="F37" s="23"/>
      <c r="G37" s="23"/>
      <c r="H37" s="23"/>
      <c r="I37" s="23"/>
      <c r="J37" s="23"/>
      <c r="K37" s="100"/>
      <c r="L37" s="100"/>
    </row>
    <row r="38" spans="3:12" x14ac:dyDescent="0.25">
      <c r="C38" s="23"/>
      <c r="D38" s="23"/>
      <c r="E38" s="23"/>
      <c r="F38" s="23"/>
      <c r="G38" s="23"/>
      <c r="H38" s="23"/>
      <c r="I38" s="23"/>
      <c r="J38" s="23"/>
      <c r="K38" s="100"/>
      <c r="L38" s="100"/>
    </row>
    <row r="39" spans="3:12" x14ac:dyDescent="0.25">
      <c r="C39" s="23"/>
      <c r="D39" s="23"/>
      <c r="E39" s="23"/>
      <c r="F39" s="23"/>
      <c r="G39" s="23"/>
      <c r="H39" s="23"/>
      <c r="I39" s="23"/>
      <c r="J39" s="23"/>
      <c r="K39" s="100"/>
      <c r="L39" s="100"/>
    </row>
    <row r="40" spans="3:12" x14ac:dyDescent="0.25">
      <c r="C40" s="23"/>
      <c r="D40" s="23"/>
      <c r="E40" s="23"/>
      <c r="F40" s="23"/>
      <c r="G40" s="23"/>
      <c r="H40" s="23"/>
      <c r="I40" s="23"/>
      <c r="J40" s="23"/>
      <c r="K40" s="100"/>
      <c r="L40" s="100"/>
    </row>
    <row r="41" spans="3:12" x14ac:dyDescent="0.25">
      <c r="C41" s="23"/>
      <c r="D41" s="23"/>
      <c r="E41" s="23"/>
      <c r="F41" s="23"/>
      <c r="G41" s="23"/>
      <c r="H41" s="23"/>
      <c r="I41" s="23"/>
      <c r="J41" s="23"/>
      <c r="K41" s="100"/>
      <c r="L41" s="100"/>
    </row>
    <row r="42" spans="3:12" x14ac:dyDescent="0.25">
      <c r="C42" s="23"/>
      <c r="D42" s="23"/>
      <c r="E42" s="23"/>
      <c r="F42" s="23"/>
      <c r="G42" s="23"/>
      <c r="H42" s="23"/>
      <c r="I42" s="23"/>
      <c r="J42" s="23"/>
      <c r="K42" s="100"/>
      <c r="L42" s="100"/>
    </row>
    <row r="43" spans="3:12" x14ac:dyDescent="0.25">
      <c r="C43" s="23"/>
      <c r="D43" s="23"/>
      <c r="E43" s="23"/>
      <c r="F43" s="23"/>
      <c r="G43" s="23"/>
      <c r="H43" s="23"/>
      <c r="I43" s="23"/>
      <c r="J43" s="23"/>
      <c r="K43" s="100"/>
      <c r="L43" s="100"/>
    </row>
    <row r="44" spans="3:12" x14ac:dyDescent="0.25">
      <c r="C44" s="23"/>
      <c r="D44" s="23"/>
      <c r="E44" s="23"/>
      <c r="F44" s="23"/>
      <c r="G44" s="23"/>
      <c r="H44" s="23"/>
      <c r="I44" s="23"/>
      <c r="J44" s="23"/>
      <c r="K44" s="100"/>
      <c r="L44" s="100"/>
    </row>
    <row r="45" spans="3:12" x14ac:dyDescent="0.25">
      <c r="C45" s="23"/>
      <c r="D45" s="23"/>
      <c r="E45" s="23"/>
      <c r="F45" s="23"/>
      <c r="G45" s="23"/>
      <c r="H45" s="23"/>
      <c r="I45" s="23"/>
      <c r="J45" s="23"/>
      <c r="K45" s="100"/>
      <c r="L45" s="100"/>
    </row>
    <row r="46" spans="3:12" x14ac:dyDescent="0.25">
      <c r="C46" s="23"/>
      <c r="D46" s="23"/>
      <c r="E46" s="23"/>
      <c r="F46" s="23"/>
      <c r="G46" s="23"/>
      <c r="H46" s="23"/>
      <c r="I46" s="23"/>
      <c r="J46" s="23"/>
      <c r="K46" s="100"/>
      <c r="L46" s="100"/>
    </row>
    <row r="47" spans="3:12" x14ac:dyDescent="0.25">
      <c r="C47" s="23"/>
      <c r="D47" s="23"/>
      <c r="E47" s="23"/>
      <c r="F47" s="23"/>
      <c r="G47" s="23"/>
      <c r="H47" s="23"/>
      <c r="I47" s="23"/>
      <c r="J47" s="23"/>
      <c r="K47" s="100"/>
      <c r="L47" s="100"/>
    </row>
    <row r="48" spans="3:12" x14ac:dyDescent="0.25">
      <c r="C48" s="23"/>
      <c r="D48" s="23"/>
      <c r="E48" s="23"/>
      <c r="F48" s="23"/>
      <c r="G48" s="23"/>
      <c r="H48" s="23"/>
      <c r="I48" s="23"/>
      <c r="J48" s="23"/>
      <c r="K48" s="100"/>
      <c r="L48" s="100"/>
    </row>
    <row r="49" spans="3:12" x14ac:dyDescent="0.25">
      <c r="C49" s="23"/>
      <c r="D49" s="23"/>
      <c r="E49" s="23"/>
      <c r="F49" s="23"/>
      <c r="G49" s="23"/>
      <c r="H49" s="23"/>
      <c r="I49" s="23"/>
      <c r="J49" s="23"/>
      <c r="K49" s="100"/>
      <c r="L49" s="100"/>
    </row>
    <row r="50" spans="3:12" x14ac:dyDescent="0.25">
      <c r="C50" s="23"/>
      <c r="D50" s="23"/>
      <c r="E50" s="23"/>
      <c r="F50" s="23"/>
      <c r="G50" s="23"/>
      <c r="H50" s="23"/>
      <c r="I50" s="23"/>
      <c r="J50" s="23"/>
      <c r="K50" s="100"/>
      <c r="L50" s="100"/>
    </row>
    <row r="51" spans="3:12" x14ac:dyDescent="0.25">
      <c r="C51" s="23"/>
      <c r="D51" s="23"/>
      <c r="E51" s="23"/>
      <c r="F51" s="23"/>
      <c r="G51" s="23"/>
      <c r="H51" s="23"/>
      <c r="I51" s="23"/>
      <c r="J51" s="23"/>
      <c r="K51" s="100"/>
      <c r="L51" s="100"/>
    </row>
    <row r="52" spans="3:12" x14ac:dyDescent="0.25">
      <c r="C52" s="23"/>
      <c r="D52" s="23"/>
      <c r="E52" s="23"/>
      <c r="F52" s="23"/>
      <c r="G52" s="23"/>
      <c r="H52" s="23"/>
      <c r="I52" s="23"/>
      <c r="J52" s="23"/>
      <c r="K52" s="100"/>
      <c r="L52" s="100"/>
    </row>
    <row r="53" spans="3:12" x14ac:dyDescent="0.25">
      <c r="C53" s="23"/>
      <c r="D53" s="23"/>
      <c r="E53" s="23"/>
      <c r="F53" s="23"/>
      <c r="G53" s="23"/>
      <c r="H53" s="23"/>
      <c r="I53" s="23"/>
      <c r="J53" s="23"/>
      <c r="K53" s="100"/>
      <c r="L53" s="100"/>
    </row>
    <row r="54" spans="3:12" x14ac:dyDescent="0.25">
      <c r="C54" s="23"/>
      <c r="D54" s="23"/>
      <c r="E54" s="23"/>
      <c r="F54" s="23"/>
      <c r="G54" s="23"/>
      <c r="H54" s="23"/>
      <c r="I54" s="23"/>
      <c r="J54" s="23"/>
      <c r="K54" s="100"/>
      <c r="L54" s="100"/>
    </row>
    <row r="55" spans="3:12" x14ac:dyDescent="0.25">
      <c r="C55" s="23"/>
      <c r="D55" s="23"/>
      <c r="E55" s="23"/>
      <c r="F55" s="23"/>
      <c r="G55" s="23"/>
      <c r="H55" s="23"/>
      <c r="I55" s="23"/>
      <c r="J55" s="23"/>
      <c r="K55" s="100"/>
      <c r="L55" s="100"/>
    </row>
    <row r="56" spans="3:12" x14ac:dyDescent="0.25">
      <c r="C56" s="23"/>
      <c r="D56" s="23"/>
      <c r="E56" s="23"/>
      <c r="F56" s="23"/>
      <c r="G56" s="23"/>
      <c r="H56" s="23"/>
      <c r="I56" s="23"/>
      <c r="J56" s="23"/>
      <c r="K56" s="100"/>
      <c r="L56" s="100"/>
    </row>
    <row r="57" spans="3:12" x14ac:dyDescent="0.25">
      <c r="C57" s="23"/>
      <c r="D57" s="23"/>
      <c r="E57" s="23"/>
      <c r="F57" s="23"/>
      <c r="G57" s="23"/>
      <c r="H57" s="23"/>
      <c r="I57" s="23"/>
      <c r="J57" s="23"/>
      <c r="K57" s="100"/>
      <c r="L57" s="23"/>
    </row>
    <row r="58" spans="3:12" x14ac:dyDescent="0.25">
      <c r="C58" s="23"/>
      <c r="D58" s="23"/>
      <c r="E58" s="23"/>
      <c r="F58" s="23"/>
      <c r="G58" s="23"/>
      <c r="H58" s="23"/>
      <c r="I58" s="23"/>
      <c r="J58" s="23"/>
      <c r="K58" s="100"/>
      <c r="L58" s="100"/>
    </row>
    <row r="59" spans="3:12" x14ac:dyDescent="0.25">
      <c r="C59" s="23"/>
      <c r="D59" s="23"/>
      <c r="E59" s="23"/>
      <c r="F59" s="23"/>
      <c r="G59" s="23"/>
      <c r="H59" s="23"/>
      <c r="I59" s="23"/>
      <c r="J59" s="23"/>
      <c r="K59" s="100"/>
      <c r="L59" s="100"/>
    </row>
    <row r="60" spans="3:12" x14ac:dyDescent="0.25">
      <c r="C60" s="23"/>
      <c r="D60" s="23"/>
      <c r="E60" s="23"/>
      <c r="F60" s="23"/>
      <c r="G60" s="23"/>
      <c r="H60" s="23"/>
      <c r="I60" s="23"/>
      <c r="J60" s="23"/>
      <c r="K60" s="100"/>
      <c r="L60" s="100"/>
    </row>
    <row r="61" spans="3:12" x14ac:dyDescent="0.25">
      <c r="C61" s="23"/>
      <c r="D61" s="23"/>
      <c r="E61" s="23"/>
      <c r="F61" s="23"/>
      <c r="G61" s="23"/>
      <c r="H61" s="23"/>
      <c r="I61" s="23"/>
      <c r="J61" s="23"/>
      <c r="K61" s="100"/>
      <c r="L61" s="100"/>
    </row>
    <row r="62" spans="3:12" x14ac:dyDescent="0.25">
      <c r="C62" s="23"/>
      <c r="D62" s="23"/>
      <c r="E62" s="23"/>
      <c r="F62" s="23"/>
      <c r="G62" s="23"/>
      <c r="H62" s="23"/>
      <c r="I62" s="23"/>
      <c r="J62" s="23"/>
      <c r="K62" s="100"/>
      <c r="L62" s="100"/>
    </row>
    <row r="63" spans="3:12" x14ac:dyDescent="0.25">
      <c r="C63" s="23"/>
      <c r="D63" s="23"/>
      <c r="E63" s="23"/>
      <c r="F63" s="23"/>
      <c r="G63" s="23"/>
      <c r="H63" s="23"/>
      <c r="I63" s="23"/>
      <c r="J63" s="23"/>
      <c r="K63" s="100"/>
      <c r="L63" s="100"/>
    </row>
    <row r="64" spans="3:12" x14ac:dyDescent="0.25">
      <c r="C64" s="23"/>
      <c r="D64" s="23"/>
      <c r="E64" s="23"/>
      <c r="F64" s="23"/>
      <c r="G64" s="23"/>
      <c r="H64" s="23"/>
      <c r="I64" s="23"/>
      <c r="J64" s="23"/>
      <c r="K64" s="100"/>
      <c r="L64" s="100"/>
    </row>
    <row r="65" spans="3:12" x14ac:dyDescent="0.25">
      <c r="C65" s="23"/>
      <c r="D65" s="23"/>
      <c r="E65" s="23"/>
      <c r="F65" s="23"/>
      <c r="G65" s="23"/>
      <c r="H65" s="23"/>
      <c r="I65" s="23"/>
      <c r="J65" s="23"/>
      <c r="K65" s="100"/>
      <c r="L65" s="100"/>
    </row>
    <row r="66" spans="3:12" x14ac:dyDescent="0.25">
      <c r="C66" s="23"/>
      <c r="D66" s="23"/>
      <c r="E66" s="23"/>
      <c r="F66" s="23"/>
      <c r="G66" s="23"/>
      <c r="H66" s="23"/>
      <c r="I66" s="23"/>
      <c r="J66" s="23"/>
      <c r="K66" s="100"/>
      <c r="L66" s="100"/>
    </row>
    <row r="67" spans="3:12" x14ac:dyDescent="0.25">
      <c r="C67" s="23"/>
      <c r="D67" s="23"/>
      <c r="E67" s="23"/>
      <c r="F67" s="23"/>
      <c r="G67" s="23"/>
      <c r="H67" s="23"/>
      <c r="I67" s="23"/>
      <c r="J67" s="23"/>
      <c r="K67" s="100"/>
      <c r="L67" s="100"/>
    </row>
    <row r="68" spans="3:12" x14ac:dyDescent="0.25">
      <c r="C68" s="23"/>
      <c r="D68" s="23"/>
      <c r="E68" s="23"/>
      <c r="F68" s="23"/>
      <c r="G68" s="23"/>
      <c r="H68" s="23"/>
      <c r="I68" s="23"/>
      <c r="J68" s="23"/>
      <c r="K68" s="100"/>
      <c r="L68" s="100"/>
    </row>
    <row r="69" spans="3:12" x14ac:dyDescent="0.25">
      <c r="C69" s="23"/>
      <c r="D69" s="23"/>
      <c r="E69" s="23"/>
      <c r="F69" s="23"/>
      <c r="G69" s="23"/>
      <c r="H69" s="23"/>
      <c r="I69" s="23"/>
      <c r="J69" s="23"/>
      <c r="K69" s="100"/>
      <c r="L69" s="100"/>
    </row>
    <row r="70" spans="3:12" x14ac:dyDescent="0.25">
      <c r="C70" s="23"/>
      <c r="D70" s="23"/>
      <c r="E70" s="23"/>
      <c r="F70" s="23"/>
      <c r="G70" s="23"/>
      <c r="H70" s="23"/>
      <c r="I70" s="23"/>
      <c r="J70" s="23"/>
      <c r="K70" s="100"/>
      <c r="L70" s="100"/>
    </row>
    <row r="71" spans="3:12" x14ac:dyDescent="0.25">
      <c r="C71" s="23"/>
      <c r="D71" s="23"/>
      <c r="E71" s="23"/>
      <c r="F71" s="23"/>
      <c r="G71" s="23"/>
      <c r="H71" s="23"/>
      <c r="I71" s="23"/>
      <c r="J71" s="23"/>
      <c r="K71" s="100"/>
      <c r="L71" s="100"/>
    </row>
    <row r="72" spans="3:12" x14ac:dyDescent="0.25">
      <c r="C72" s="23"/>
      <c r="D72" s="23"/>
      <c r="E72" s="23"/>
      <c r="F72" s="23"/>
      <c r="G72" s="23"/>
      <c r="H72" s="23"/>
      <c r="I72" s="23"/>
      <c r="J72" s="23"/>
      <c r="K72" s="100"/>
      <c r="L72" s="100"/>
    </row>
    <row r="73" spans="3:12" x14ac:dyDescent="0.25">
      <c r="C73" s="23"/>
      <c r="D73" s="23"/>
      <c r="E73" s="23"/>
      <c r="F73" s="23"/>
      <c r="G73" s="23"/>
      <c r="H73" s="23"/>
      <c r="I73" s="23"/>
      <c r="J73" s="23"/>
      <c r="K73" s="100"/>
      <c r="L73" s="100"/>
    </row>
    <row r="74" spans="3:12" x14ac:dyDescent="0.25">
      <c r="C74" s="23"/>
      <c r="D74" s="23"/>
      <c r="E74" s="23"/>
      <c r="F74" s="23"/>
      <c r="G74" s="23"/>
      <c r="H74" s="23"/>
      <c r="I74" s="23"/>
      <c r="J74" s="23"/>
      <c r="K74" s="100"/>
      <c r="L74" s="100"/>
    </row>
    <row r="75" spans="3:12" x14ac:dyDescent="0.25">
      <c r="C75" s="23"/>
      <c r="D75" s="23"/>
      <c r="E75" s="23"/>
      <c r="F75" s="23"/>
      <c r="G75" s="23"/>
      <c r="H75" s="23"/>
      <c r="I75" s="23"/>
      <c r="J75" s="23"/>
      <c r="K75" s="100"/>
      <c r="L75" s="100"/>
    </row>
    <row r="76" spans="3:12" x14ac:dyDescent="0.25">
      <c r="C76" s="23"/>
      <c r="D76" s="23"/>
      <c r="E76" s="23"/>
      <c r="F76" s="23"/>
      <c r="G76" s="23"/>
      <c r="H76" s="23"/>
      <c r="I76" s="23"/>
      <c r="J76" s="23"/>
      <c r="K76" s="100"/>
      <c r="L76" s="100"/>
    </row>
    <row r="77" spans="3:12" x14ac:dyDescent="0.25">
      <c r="C77" s="23"/>
      <c r="D77" s="23"/>
      <c r="E77" s="23"/>
      <c r="F77" s="23"/>
      <c r="G77" s="23"/>
      <c r="H77" s="23"/>
      <c r="I77" s="23"/>
      <c r="J77" s="23"/>
      <c r="K77" s="100"/>
      <c r="L77" s="100"/>
    </row>
    <row r="78" spans="3:12" x14ac:dyDescent="0.25">
      <c r="C78" s="23"/>
      <c r="D78" s="23"/>
      <c r="E78" s="23"/>
      <c r="F78" s="23"/>
      <c r="G78" s="23"/>
      <c r="H78" s="23"/>
      <c r="I78" s="23"/>
      <c r="J78" s="23"/>
      <c r="K78" s="100"/>
      <c r="L78" s="100"/>
    </row>
    <row r="79" spans="3:12" x14ac:dyDescent="0.25">
      <c r="C79" s="23"/>
      <c r="D79" s="23"/>
      <c r="E79" s="23"/>
      <c r="F79" s="23"/>
      <c r="G79" s="23"/>
      <c r="H79" s="23"/>
      <c r="I79" s="23"/>
      <c r="J79" s="23"/>
      <c r="K79" s="100"/>
      <c r="L79" s="100"/>
    </row>
    <row r="80" spans="3:12" x14ac:dyDescent="0.25">
      <c r="C80" s="23"/>
      <c r="D80" s="23"/>
      <c r="E80" s="23"/>
      <c r="F80" s="23"/>
      <c r="G80" s="23"/>
      <c r="H80" s="23"/>
      <c r="I80" s="23"/>
      <c r="J80" s="23"/>
      <c r="K80" s="100"/>
      <c r="L80" s="100"/>
    </row>
    <row r="81" spans="3:12" x14ac:dyDescent="0.25">
      <c r="C81" s="23"/>
      <c r="D81" s="23"/>
      <c r="E81" s="23"/>
      <c r="F81" s="23"/>
      <c r="G81" s="23"/>
      <c r="H81" s="23"/>
      <c r="I81" s="23"/>
      <c r="J81" s="23"/>
      <c r="K81" s="100"/>
      <c r="L81" s="100"/>
    </row>
    <row r="82" spans="3:12" x14ac:dyDescent="0.25">
      <c r="C82" s="23"/>
      <c r="D82" s="23"/>
      <c r="E82" s="23"/>
      <c r="F82" s="23"/>
      <c r="G82" s="23"/>
      <c r="H82" s="23"/>
      <c r="I82" s="23"/>
      <c r="J82" s="23"/>
      <c r="K82" s="100"/>
      <c r="L82" s="100"/>
    </row>
    <row r="83" spans="3:12" x14ac:dyDescent="0.25">
      <c r="C83" s="23"/>
      <c r="D83" s="23"/>
      <c r="E83" s="23"/>
      <c r="F83" s="23"/>
      <c r="G83" s="23"/>
      <c r="H83" s="23"/>
      <c r="I83" s="23"/>
      <c r="J83" s="23"/>
      <c r="K83" s="100"/>
      <c r="L83" s="100"/>
    </row>
    <row r="84" spans="3:12" x14ac:dyDescent="0.25">
      <c r="C84" s="23"/>
      <c r="D84" s="23"/>
      <c r="E84" s="23"/>
      <c r="F84" s="23"/>
      <c r="G84" s="23"/>
      <c r="H84" s="23"/>
      <c r="I84" s="23"/>
      <c r="J84" s="23"/>
      <c r="K84" s="100"/>
      <c r="L84" s="100"/>
    </row>
    <row r="85" spans="3:12" x14ac:dyDescent="0.25">
      <c r="C85" s="23"/>
      <c r="D85" s="23"/>
      <c r="E85" s="23"/>
      <c r="F85" s="23"/>
      <c r="G85" s="23"/>
      <c r="H85" s="23"/>
      <c r="I85" s="23"/>
      <c r="J85" s="23"/>
      <c r="K85" s="100"/>
      <c r="L85" s="100"/>
    </row>
    <row r="86" spans="3:12" x14ac:dyDescent="0.25">
      <c r="C86" s="23"/>
      <c r="D86" s="23"/>
      <c r="E86" s="23"/>
      <c r="F86" s="23"/>
      <c r="G86" s="23"/>
      <c r="H86" s="23"/>
      <c r="I86" s="23"/>
      <c r="J86" s="23"/>
      <c r="K86" s="100"/>
      <c r="L86" s="100"/>
    </row>
    <row r="87" spans="3:12" x14ac:dyDescent="0.25">
      <c r="C87" s="23"/>
      <c r="D87" s="23"/>
      <c r="E87" s="23"/>
      <c r="F87" s="23"/>
      <c r="G87" s="23"/>
      <c r="H87" s="23"/>
      <c r="I87" s="23"/>
      <c r="J87" s="23"/>
      <c r="K87" s="100"/>
      <c r="L87" s="100"/>
    </row>
    <row r="88" spans="3:12" x14ac:dyDescent="0.25">
      <c r="C88" s="23"/>
      <c r="D88" s="23"/>
      <c r="E88" s="23"/>
      <c r="F88" s="23"/>
      <c r="G88" s="23"/>
      <c r="H88" s="23"/>
      <c r="I88" s="23"/>
      <c r="J88" s="23"/>
      <c r="K88" s="100"/>
      <c r="L88" s="100"/>
    </row>
    <row r="89" spans="3:12" x14ac:dyDescent="0.25">
      <c r="C89" s="23"/>
      <c r="D89" s="23"/>
      <c r="E89" s="23"/>
      <c r="F89" s="23"/>
      <c r="G89" s="23"/>
      <c r="H89" s="23"/>
      <c r="I89" s="23"/>
      <c r="J89" s="23"/>
      <c r="K89" s="100"/>
      <c r="L89" s="100"/>
    </row>
    <row r="90" spans="3:12" x14ac:dyDescent="0.25">
      <c r="C90" s="23"/>
      <c r="D90" s="23"/>
      <c r="E90" s="23"/>
      <c r="F90" s="23"/>
      <c r="G90" s="23"/>
      <c r="H90" s="23"/>
      <c r="I90" s="23"/>
      <c r="J90" s="23"/>
      <c r="K90" s="100"/>
      <c r="L90" s="100"/>
    </row>
    <row r="91" spans="3:12" x14ac:dyDescent="0.25">
      <c r="C91" s="23"/>
      <c r="D91" s="23"/>
      <c r="E91" s="23"/>
      <c r="F91" s="23"/>
      <c r="G91" s="23"/>
      <c r="H91" s="23"/>
      <c r="I91" s="23"/>
      <c r="J91" s="23"/>
      <c r="K91" s="100"/>
      <c r="L91" s="100"/>
    </row>
    <row r="92" spans="3:12" x14ac:dyDescent="0.25">
      <c r="C92" s="23"/>
      <c r="D92" s="23"/>
      <c r="E92" s="23"/>
      <c r="F92" s="23"/>
      <c r="G92" s="23"/>
      <c r="H92" s="23"/>
      <c r="I92" s="23"/>
      <c r="J92" s="23"/>
      <c r="K92" s="100"/>
      <c r="L92" s="100"/>
    </row>
    <row r="93" spans="3:12" x14ac:dyDescent="0.25">
      <c r="C93" s="23"/>
      <c r="D93" s="23"/>
      <c r="E93" s="23"/>
      <c r="F93" s="23"/>
      <c r="G93" s="23"/>
      <c r="H93" s="23"/>
      <c r="I93" s="23"/>
      <c r="J93" s="23"/>
      <c r="K93" s="100"/>
      <c r="L93" s="100"/>
    </row>
    <row r="94" spans="3:12" x14ac:dyDescent="0.25">
      <c r="C94" s="23"/>
      <c r="D94" s="23"/>
      <c r="E94" s="23"/>
      <c r="F94" s="23"/>
      <c r="G94" s="23"/>
      <c r="H94" s="23"/>
      <c r="I94" s="23"/>
      <c r="J94" s="23"/>
      <c r="K94" s="100"/>
      <c r="L94" s="100"/>
    </row>
    <row r="95" spans="3:12" x14ac:dyDescent="0.25">
      <c r="C95" s="23"/>
      <c r="D95" s="23"/>
      <c r="E95" s="23"/>
      <c r="F95" s="23"/>
      <c r="G95" s="23"/>
      <c r="H95" s="23"/>
      <c r="I95" s="23"/>
      <c r="J95" s="23"/>
      <c r="K95" s="100"/>
      <c r="L95" s="100"/>
    </row>
    <row r="96" spans="3:12" x14ac:dyDescent="0.25">
      <c r="C96" s="23"/>
      <c r="D96" s="23"/>
      <c r="E96" s="23"/>
      <c r="F96" s="23"/>
      <c r="G96" s="23"/>
      <c r="H96" s="23"/>
      <c r="I96" s="23"/>
      <c r="J96" s="23"/>
      <c r="K96" s="100"/>
      <c r="L96" s="100"/>
    </row>
    <row r="97" spans="3:12" x14ac:dyDescent="0.25">
      <c r="C97" s="23"/>
      <c r="D97" s="23"/>
      <c r="E97" s="23"/>
      <c r="F97" s="23"/>
      <c r="G97" s="23"/>
      <c r="H97" s="23"/>
      <c r="I97" s="23"/>
      <c r="J97" s="23"/>
      <c r="K97" s="100"/>
      <c r="L97" s="100"/>
    </row>
    <row r="98" spans="3:12" x14ac:dyDescent="0.25">
      <c r="C98" s="23"/>
      <c r="D98" s="23"/>
      <c r="E98" s="23"/>
      <c r="F98" s="23"/>
      <c r="G98" s="23"/>
      <c r="H98" s="23"/>
      <c r="I98" s="23"/>
      <c r="J98" s="23"/>
      <c r="K98" s="100"/>
      <c r="L98" s="100"/>
    </row>
    <row r="99" spans="3:12" x14ac:dyDescent="0.25">
      <c r="C99" s="23"/>
      <c r="D99" s="23"/>
      <c r="E99" s="23"/>
      <c r="F99" s="23"/>
      <c r="G99" s="23"/>
      <c r="H99" s="23"/>
      <c r="I99" s="23"/>
      <c r="J99" s="23"/>
      <c r="K99" s="100"/>
      <c r="L99" s="100"/>
    </row>
    <row r="100" spans="3:12" x14ac:dyDescent="0.25">
      <c r="C100" s="23"/>
      <c r="D100" s="23"/>
      <c r="E100" s="23"/>
      <c r="F100" s="23"/>
      <c r="G100" s="23"/>
      <c r="H100" s="23"/>
      <c r="I100" s="23"/>
      <c r="J100" s="23"/>
      <c r="K100" s="100"/>
      <c r="L100" s="100"/>
    </row>
    <row r="101" spans="3:12" x14ac:dyDescent="0.25">
      <c r="C101" s="23"/>
      <c r="D101" s="23"/>
      <c r="E101" s="23"/>
      <c r="F101" s="23"/>
      <c r="G101" s="23"/>
      <c r="H101" s="23"/>
      <c r="I101" s="23"/>
      <c r="J101" s="23"/>
      <c r="K101" s="100"/>
      <c r="L101" s="100"/>
    </row>
    <row r="102" spans="3:12" x14ac:dyDescent="0.25">
      <c r="C102" s="23"/>
      <c r="D102" s="23"/>
      <c r="E102" s="23"/>
      <c r="F102" s="23"/>
      <c r="G102" s="23"/>
      <c r="H102" s="23"/>
      <c r="I102" s="23"/>
      <c r="J102" s="23"/>
      <c r="K102" s="100"/>
      <c r="L102" s="100"/>
    </row>
    <row r="103" spans="3:12" x14ac:dyDescent="0.25">
      <c r="C103" s="23"/>
      <c r="D103" s="23"/>
      <c r="E103" s="23"/>
      <c r="F103" s="23"/>
      <c r="G103" s="23"/>
      <c r="H103" s="23"/>
      <c r="I103" s="23"/>
      <c r="J103" s="23"/>
      <c r="K103" s="100"/>
      <c r="L103" s="100"/>
    </row>
    <row r="104" spans="3:12" x14ac:dyDescent="0.25">
      <c r="C104" s="23"/>
      <c r="D104" s="23"/>
      <c r="E104" s="23"/>
      <c r="F104" s="23"/>
      <c r="G104" s="23"/>
      <c r="H104" s="23"/>
      <c r="I104" s="23"/>
      <c r="J104" s="23"/>
      <c r="K104" s="100"/>
      <c r="L104" s="100"/>
    </row>
    <row r="105" spans="3:12" x14ac:dyDescent="0.25">
      <c r="C105" s="23"/>
      <c r="D105" s="23"/>
      <c r="E105" s="23"/>
      <c r="F105" s="23"/>
      <c r="G105" s="23"/>
      <c r="H105" s="23"/>
      <c r="I105" s="23"/>
      <c r="J105" s="23"/>
      <c r="K105" s="100"/>
      <c r="L105" s="100"/>
    </row>
    <row r="106" spans="3:12" x14ac:dyDescent="0.25">
      <c r="C106" s="23"/>
      <c r="D106" s="23"/>
      <c r="E106" s="23"/>
      <c r="F106" s="23"/>
      <c r="G106" s="23"/>
      <c r="H106" s="23"/>
      <c r="I106" s="23"/>
      <c r="J106" s="23"/>
      <c r="K106" s="100"/>
      <c r="L106" s="100"/>
    </row>
    <row r="107" spans="3:12" x14ac:dyDescent="0.25">
      <c r="C107" s="23"/>
      <c r="D107" s="23"/>
      <c r="E107" s="23"/>
      <c r="F107" s="23"/>
      <c r="G107" s="23"/>
      <c r="H107" s="23"/>
      <c r="I107" s="23"/>
      <c r="J107" s="23"/>
      <c r="K107" s="100"/>
      <c r="L107" s="100"/>
    </row>
    <row r="108" spans="3:12" x14ac:dyDescent="0.25">
      <c r="C108" s="23"/>
      <c r="D108" s="23"/>
      <c r="E108" s="23"/>
      <c r="F108" s="23"/>
      <c r="G108" s="23"/>
      <c r="H108" s="23"/>
      <c r="I108" s="23"/>
      <c r="J108" s="23"/>
      <c r="K108" s="100"/>
      <c r="L108" s="100"/>
    </row>
    <row r="109" spans="3:12" x14ac:dyDescent="0.25">
      <c r="C109" s="23"/>
      <c r="D109" s="23"/>
      <c r="E109" s="23"/>
      <c r="F109" s="23"/>
      <c r="G109" s="23"/>
      <c r="H109" s="23"/>
      <c r="I109" s="23"/>
      <c r="J109" s="23"/>
      <c r="K109" s="100"/>
      <c r="L109" s="100"/>
    </row>
    <row r="110" spans="3:12" x14ac:dyDescent="0.25">
      <c r="C110" s="23"/>
      <c r="D110" s="23"/>
      <c r="E110" s="23"/>
      <c r="F110" s="23"/>
      <c r="G110" s="23"/>
      <c r="H110" s="23"/>
      <c r="I110" s="23"/>
      <c r="J110" s="23"/>
      <c r="K110" s="100"/>
      <c r="L110" s="100"/>
    </row>
    <row r="111" spans="3:12" x14ac:dyDescent="0.25">
      <c r="C111" s="23"/>
      <c r="D111" s="23"/>
      <c r="E111" s="23"/>
      <c r="F111" s="23"/>
      <c r="G111" s="23"/>
      <c r="H111" s="23"/>
      <c r="I111" s="23"/>
      <c r="J111" s="23"/>
      <c r="K111" s="100"/>
      <c r="L111" s="100"/>
    </row>
    <row r="112" spans="3:12" x14ac:dyDescent="0.25">
      <c r="C112" s="23"/>
      <c r="D112" s="23"/>
      <c r="E112" s="23"/>
      <c r="F112" s="23"/>
      <c r="G112" s="23"/>
      <c r="H112" s="23"/>
      <c r="I112" s="23"/>
      <c r="J112" s="23"/>
      <c r="K112" s="100"/>
      <c r="L112" s="100"/>
    </row>
    <row r="113" spans="3:12" x14ac:dyDescent="0.25">
      <c r="C113" s="23"/>
      <c r="D113" s="23"/>
      <c r="E113" s="23"/>
      <c r="F113" s="23"/>
      <c r="G113" s="23"/>
      <c r="H113" s="23"/>
      <c r="I113" s="23"/>
      <c r="J113" s="23"/>
      <c r="K113" s="100"/>
      <c r="L113" s="100"/>
    </row>
    <row r="114" spans="3:12" x14ac:dyDescent="0.25">
      <c r="C114" s="23"/>
      <c r="D114" s="23"/>
      <c r="E114" s="23"/>
      <c r="F114" s="23"/>
      <c r="G114" s="23"/>
      <c r="H114" s="23"/>
      <c r="I114" s="23"/>
      <c r="J114" s="23"/>
      <c r="K114" s="100"/>
      <c r="L114" s="100"/>
    </row>
    <row r="115" spans="3:12" x14ac:dyDescent="0.25">
      <c r="C115" s="23"/>
      <c r="D115" s="23"/>
      <c r="E115" s="23"/>
      <c r="F115" s="23"/>
      <c r="G115" s="23"/>
      <c r="H115" s="23"/>
      <c r="I115" s="23"/>
      <c r="J115" s="23"/>
      <c r="K115" s="100"/>
      <c r="L115" s="100"/>
    </row>
    <row r="116" spans="3:12" x14ac:dyDescent="0.25">
      <c r="C116" s="23"/>
      <c r="D116" s="23"/>
      <c r="E116" s="23"/>
      <c r="F116" s="23"/>
      <c r="G116" s="23"/>
      <c r="H116" s="23"/>
      <c r="I116" s="23"/>
      <c r="J116" s="23"/>
      <c r="K116" s="100"/>
      <c r="L116" s="100"/>
    </row>
    <row r="117" spans="3:12" x14ac:dyDescent="0.25">
      <c r="C117" s="23"/>
      <c r="D117" s="23"/>
      <c r="E117" s="23"/>
      <c r="F117" s="23"/>
      <c r="G117" s="23"/>
      <c r="H117" s="23"/>
      <c r="I117" s="23"/>
      <c r="J117" s="23"/>
      <c r="K117" s="100"/>
      <c r="L117" s="100"/>
    </row>
    <row r="118" spans="3:12" x14ac:dyDescent="0.25">
      <c r="C118" s="23"/>
      <c r="D118" s="23"/>
      <c r="E118" s="23"/>
      <c r="F118" s="23"/>
      <c r="G118" s="23"/>
      <c r="H118" s="23"/>
      <c r="I118" s="23"/>
      <c r="J118" s="23"/>
      <c r="K118" s="100"/>
      <c r="L118" s="100"/>
    </row>
    <row r="119" spans="3:12" x14ac:dyDescent="0.25">
      <c r="C119" s="23"/>
      <c r="D119" s="23"/>
      <c r="E119" s="23"/>
      <c r="F119" s="23"/>
      <c r="G119" s="23"/>
      <c r="H119" s="23"/>
      <c r="I119" s="23"/>
      <c r="J119" s="23"/>
      <c r="K119" s="100"/>
      <c r="L119" s="100"/>
    </row>
    <row r="120" spans="3:12" x14ac:dyDescent="0.25">
      <c r="C120" s="23"/>
      <c r="D120" s="23"/>
      <c r="E120" s="23"/>
      <c r="F120" s="23"/>
      <c r="G120" s="23"/>
      <c r="H120" s="23"/>
      <c r="I120" s="23"/>
      <c r="J120" s="23"/>
      <c r="K120" s="100"/>
      <c r="L120" s="100"/>
    </row>
    <row r="121" spans="3:12" x14ac:dyDescent="0.25">
      <c r="C121" s="23"/>
      <c r="D121" s="23"/>
      <c r="E121" s="23"/>
      <c r="F121" s="23"/>
      <c r="G121" s="23"/>
      <c r="H121" s="23"/>
      <c r="I121" s="23"/>
      <c r="J121" s="23"/>
      <c r="K121" s="100"/>
      <c r="L121" s="100"/>
    </row>
    <row r="122" spans="3:12" x14ac:dyDescent="0.25">
      <c r="C122" s="23"/>
      <c r="D122" s="23"/>
      <c r="E122" s="23"/>
      <c r="F122" s="23"/>
      <c r="G122" s="23"/>
      <c r="H122" s="23"/>
      <c r="I122" s="23"/>
      <c r="J122" s="23"/>
      <c r="K122" s="100"/>
      <c r="L122" s="100"/>
    </row>
    <row r="123" spans="3:12" x14ac:dyDescent="0.25">
      <c r="C123" s="23"/>
      <c r="D123" s="23"/>
      <c r="E123" s="23"/>
      <c r="F123" s="23"/>
      <c r="G123" s="23"/>
      <c r="H123" s="23"/>
      <c r="I123" s="23"/>
      <c r="J123" s="23"/>
      <c r="K123" s="100"/>
      <c r="L123" s="100"/>
    </row>
    <row r="124" spans="3:12" x14ac:dyDescent="0.25">
      <c r="C124" s="23"/>
      <c r="D124" s="23"/>
      <c r="E124" s="23"/>
      <c r="F124" s="23"/>
      <c r="G124" s="23"/>
      <c r="H124" s="23"/>
      <c r="I124" s="23"/>
      <c r="J124" s="23"/>
      <c r="K124" s="100"/>
      <c r="L124" s="100"/>
    </row>
    <row r="125" spans="3:12" x14ac:dyDescent="0.25">
      <c r="C125" s="23"/>
      <c r="D125" s="23"/>
      <c r="E125" s="23"/>
      <c r="F125" s="23"/>
      <c r="G125" s="23"/>
      <c r="H125" s="23"/>
      <c r="I125" s="23"/>
      <c r="J125" s="23"/>
      <c r="K125" s="100"/>
      <c r="L125" s="100"/>
    </row>
    <row r="126" spans="3:12" x14ac:dyDescent="0.25">
      <c r="C126" s="23"/>
      <c r="D126" s="23"/>
      <c r="E126" s="23"/>
      <c r="F126" s="23"/>
      <c r="G126" s="23"/>
      <c r="H126" s="23"/>
      <c r="I126" s="23"/>
      <c r="J126" s="23"/>
      <c r="K126" s="100"/>
      <c r="L126" s="100"/>
    </row>
    <row r="127" spans="3:12" x14ac:dyDescent="0.25">
      <c r="C127" s="23"/>
      <c r="D127" s="23"/>
      <c r="E127" s="23"/>
      <c r="F127" s="23"/>
      <c r="G127" s="23"/>
      <c r="H127" s="23"/>
      <c r="I127" s="23"/>
      <c r="J127" s="23"/>
      <c r="K127" s="100"/>
      <c r="L127" s="100"/>
    </row>
    <row r="128" spans="3:12" x14ac:dyDescent="0.25">
      <c r="C128" s="23"/>
      <c r="D128" s="23"/>
      <c r="E128" s="23"/>
      <c r="F128" s="23"/>
      <c r="G128" s="23"/>
      <c r="H128" s="23"/>
      <c r="I128" s="23"/>
      <c r="J128" s="23"/>
      <c r="K128" s="100"/>
      <c r="L128" s="100"/>
    </row>
    <row r="129" spans="3:12" x14ac:dyDescent="0.25">
      <c r="C129" s="23"/>
      <c r="D129" s="23"/>
      <c r="E129" s="23"/>
      <c r="F129" s="23"/>
      <c r="G129" s="23"/>
      <c r="H129" s="23"/>
      <c r="I129" s="23"/>
      <c r="J129" s="23"/>
      <c r="K129" s="100"/>
      <c r="L129" s="100"/>
    </row>
    <row r="130" spans="3:12" x14ac:dyDescent="0.25">
      <c r="C130" s="23"/>
      <c r="D130" s="23"/>
      <c r="E130" s="23"/>
      <c r="F130" s="23"/>
      <c r="G130" s="23"/>
      <c r="H130" s="23"/>
      <c r="I130" s="23"/>
      <c r="J130" s="23"/>
      <c r="K130" s="100"/>
      <c r="L130" s="100"/>
    </row>
    <row r="131" spans="3:12" x14ac:dyDescent="0.25">
      <c r="C131" s="23"/>
      <c r="D131" s="23"/>
      <c r="E131" s="23"/>
      <c r="F131" s="23"/>
      <c r="G131" s="23"/>
      <c r="H131" s="23"/>
      <c r="I131" s="23"/>
      <c r="J131" s="23"/>
      <c r="K131" s="100"/>
      <c r="L131" s="100"/>
    </row>
    <row r="132" spans="3:12" x14ac:dyDescent="0.25">
      <c r="C132" s="23"/>
      <c r="D132" s="23"/>
      <c r="E132" s="23"/>
      <c r="F132" s="23"/>
      <c r="G132" s="23"/>
      <c r="H132" s="23"/>
      <c r="I132" s="23"/>
      <c r="J132" s="23"/>
      <c r="K132" s="100"/>
      <c r="L132" s="100"/>
    </row>
    <row r="133" spans="3:12" x14ac:dyDescent="0.25">
      <c r="C133" s="23"/>
      <c r="D133" s="23"/>
      <c r="E133" s="23"/>
      <c r="F133" s="23"/>
      <c r="G133" s="23"/>
      <c r="H133" s="23"/>
      <c r="I133" s="23"/>
      <c r="J133" s="23"/>
      <c r="K133" s="100"/>
      <c r="L133" s="100"/>
    </row>
    <row r="134" spans="3:12" x14ac:dyDescent="0.25">
      <c r="C134" s="23"/>
      <c r="D134" s="23"/>
      <c r="E134" s="23"/>
      <c r="F134" s="23"/>
      <c r="G134" s="23"/>
      <c r="H134" s="23"/>
      <c r="I134" s="23"/>
      <c r="J134" s="23"/>
      <c r="K134" s="100"/>
      <c r="L134" s="100"/>
    </row>
    <row r="135" spans="3:12" x14ac:dyDescent="0.25">
      <c r="C135" s="23"/>
      <c r="D135" s="23"/>
      <c r="E135" s="23"/>
      <c r="F135" s="23"/>
      <c r="G135" s="23"/>
      <c r="H135" s="23"/>
      <c r="I135" s="23"/>
      <c r="J135" s="23"/>
      <c r="K135" s="100"/>
      <c r="L135" s="100"/>
    </row>
    <row r="136" spans="3:12" x14ac:dyDescent="0.25">
      <c r="C136" s="23"/>
      <c r="D136" s="23"/>
      <c r="E136" s="23"/>
      <c r="F136" s="23"/>
      <c r="G136" s="23"/>
      <c r="H136" s="23"/>
      <c r="I136" s="23"/>
      <c r="J136" s="23"/>
      <c r="K136" s="100"/>
      <c r="L136" s="100"/>
    </row>
    <row r="137" spans="3:12" x14ac:dyDescent="0.25">
      <c r="C137" s="23"/>
      <c r="D137" s="23"/>
      <c r="E137" s="23"/>
      <c r="F137" s="23"/>
      <c r="G137" s="23"/>
      <c r="H137" s="23"/>
      <c r="I137" s="23"/>
      <c r="J137" s="23"/>
      <c r="K137" s="100"/>
      <c r="L137" s="100"/>
    </row>
    <row r="138" spans="3:12" x14ac:dyDescent="0.25">
      <c r="C138" s="23"/>
      <c r="D138" s="23"/>
      <c r="E138" s="23"/>
      <c r="F138" s="23"/>
      <c r="G138" s="23"/>
      <c r="H138" s="23"/>
      <c r="I138" s="23"/>
      <c r="J138" s="23"/>
      <c r="K138" s="100"/>
      <c r="L138" s="100"/>
    </row>
    <row r="139" spans="3:12" x14ac:dyDescent="0.25">
      <c r="C139" s="23"/>
      <c r="D139" s="23"/>
      <c r="E139" s="23"/>
      <c r="F139" s="23"/>
      <c r="G139" s="23"/>
      <c r="H139" s="23"/>
      <c r="I139" s="23"/>
      <c r="J139" s="23"/>
      <c r="K139" s="100"/>
      <c r="L139" s="100"/>
    </row>
    <row r="140" spans="3:12" x14ac:dyDescent="0.25">
      <c r="C140" s="23"/>
      <c r="D140" s="23"/>
      <c r="E140" s="23"/>
      <c r="F140" s="23"/>
      <c r="G140" s="23"/>
      <c r="H140" s="23"/>
      <c r="I140" s="23"/>
      <c r="J140" s="23"/>
      <c r="K140" s="100"/>
      <c r="L140" s="100"/>
    </row>
    <row r="141" spans="3:12" x14ac:dyDescent="0.25">
      <c r="C141" s="23"/>
      <c r="D141" s="23"/>
      <c r="E141" s="23"/>
      <c r="F141" s="23"/>
      <c r="G141" s="23"/>
      <c r="H141" s="23"/>
      <c r="I141" s="23"/>
      <c r="J141" s="23"/>
      <c r="K141" s="100"/>
      <c r="L141" s="100"/>
    </row>
    <row r="142" spans="3:12" x14ac:dyDescent="0.25">
      <c r="C142" s="23"/>
      <c r="D142" s="23"/>
      <c r="E142" s="23"/>
      <c r="F142" s="23"/>
      <c r="G142" s="23"/>
      <c r="H142" s="23"/>
      <c r="I142" s="23"/>
      <c r="J142" s="23"/>
      <c r="K142" s="100"/>
      <c r="L142" s="100"/>
    </row>
    <row r="143" spans="3:12" x14ac:dyDescent="0.25">
      <c r="C143" s="23"/>
      <c r="D143" s="23"/>
      <c r="E143" s="23"/>
      <c r="F143" s="23"/>
      <c r="G143" s="23"/>
      <c r="H143" s="23"/>
      <c r="I143" s="23"/>
      <c r="J143" s="23"/>
      <c r="K143" s="100"/>
      <c r="L143" s="100"/>
    </row>
    <row r="144" spans="3:12" x14ac:dyDescent="0.25">
      <c r="C144" s="23"/>
      <c r="D144" s="23"/>
      <c r="E144" s="23"/>
      <c r="F144" s="23"/>
      <c r="G144" s="23"/>
      <c r="H144" s="23"/>
      <c r="I144" s="23"/>
      <c r="J144" s="23"/>
      <c r="K144" s="100"/>
      <c r="L144" s="100"/>
    </row>
    <row r="145" spans="3:12" x14ac:dyDescent="0.25">
      <c r="C145" s="23"/>
      <c r="D145" s="23"/>
      <c r="E145" s="23"/>
      <c r="F145" s="23"/>
      <c r="G145" s="23"/>
      <c r="H145" s="23"/>
      <c r="I145" s="23"/>
      <c r="J145" s="23"/>
      <c r="K145" s="100"/>
      <c r="L145" s="100"/>
    </row>
    <row r="146" spans="3:12" x14ac:dyDescent="0.25">
      <c r="C146" s="23"/>
      <c r="D146" s="23"/>
      <c r="E146" s="23"/>
      <c r="F146" s="23"/>
      <c r="G146" s="23"/>
      <c r="H146" s="23"/>
      <c r="I146" s="23"/>
      <c r="J146" s="23"/>
      <c r="K146" s="100"/>
      <c r="L146" s="100"/>
    </row>
    <row r="147" spans="3:12" x14ac:dyDescent="0.25">
      <c r="C147" s="23"/>
      <c r="D147" s="23"/>
      <c r="E147" s="23"/>
      <c r="F147" s="23"/>
      <c r="G147" s="23"/>
      <c r="H147" s="23"/>
      <c r="I147" s="23"/>
      <c r="J147" s="23"/>
      <c r="K147" s="100"/>
      <c r="L147" s="100"/>
    </row>
    <row r="148" spans="3:12" x14ac:dyDescent="0.25">
      <c r="C148" s="23"/>
      <c r="D148" s="23"/>
      <c r="E148" s="23"/>
      <c r="F148" s="23"/>
      <c r="G148" s="23"/>
      <c r="H148" s="23"/>
      <c r="I148" s="23"/>
      <c r="J148" s="23"/>
      <c r="K148" s="100"/>
      <c r="L148" s="100"/>
    </row>
    <row r="149" spans="3:12" x14ac:dyDescent="0.25">
      <c r="C149" s="23"/>
      <c r="D149" s="23"/>
      <c r="E149" s="23"/>
      <c r="F149" s="23"/>
      <c r="G149" s="23"/>
      <c r="H149" s="23"/>
      <c r="I149" s="23"/>
      <c r="J149" s="23"/>
      <c r="K149" s="100"/>
      <c r="L149" s="100"/>
    </row>
    <row r="150" spans="3:12" x14ac:dyDescent="0.25">
      <c r="C150" s="23"/>
      <c r="D150" s="23"/>
      <c r="E150" s="23"/>
      <c r="F150" s="23"/>
      <c r="G150" s="23"/>
      <c r="H150" s="23"/>
      <c r="I150" s="23"/>
      <c r="J150" s="23"/>
      <c r="K150" s="100"/>
      <c r="L150" s="100"/>
    </row>
    <row r="151" spans="3:12" x14ac:dyDescent="0.25">
      <c r="C151" s="23"/>
      <c r="D151" s="23"/>
      <c r="E151" s="23"/>
      <c r="F151" s="23"/>
      <c r="G151" s="23"/>
      <c r="H151" s="23"/>
      <c r="I151" s="23"/>
      <c r="J151" s="23"/>
      <c r="K151" s="100"/>
      <c r="L151" s="100"/>
    </row>
    <row r="152" spans="3:12" x14ac:dyDescent="0.25">
      <c r="C152" s="23"/>
      <c r="D152" s="23"/>
      <c r="E152" s="23"/>
      <c r="F152" s="23"/>
      <c r="G152" s="23"/>
      <c r="H152" s="23"/>
      <c r="I152" s="23"/>
      <c r="J152" s="23"/>
      <c r="K152" s="100"/>
      <c r="L152" s="100"/>
    </row>
    <row r="153" spans="3:12" x14ac:dyDescent="0.25">
      <c r="C153" s="23"/>
      <c r="D153" s="23"/>
      <c r="E153" s="23"/>
      <c r="F153" s="23"/>
      <c r="G153" s="23"/>
      <c r="H153" s="23"/>
      <c r="I153" s="23"/>
      <c r="J153" s="23"/>
      <c r="K153" s="100"/>
      <c r="L153" s="100"/>
    </row>
    <row r="154" spans="3:12" x14ac:dyDescent="0.25">
      <c r="C154" s="23"/>
      <c r="D154" s="23"/>
      <c r="E154" s="23"/>
      <c r="F154" s="23"/>
      <c r="G154" s="23"/>
      <c r="H154" s="23"/>
      <c r="I154" s="23"/>
      <c r="J154" s="23"/>
      <c r="K154" s="100"/>
      <c r="L154" s="100"/>
    </row>
    <row r="155" spans="3:12" x14ac:dyDescent="0.25">
      <c r="C155" s="23"/>
      <c r="D155" s="23"/>
      <c r="E155" s="23"/>
      <c r="F155" s="23"/>
      <c r="G155" s="23"/>
      <c r="H155" s="23"/>
      <c r="I155" s="23"/>
      <c r="J155" s="23"/>
      <c r="K155" s="100"/>
      <c r="L155" s="100"/>
    </row>
    <row r="156" spans="3:12" x14ac:dyDescent="0.25">
      <c r="C156" s="23"/>
      <c r="D156" s="23"/>
      <c r="E156" s="23"/>
      <c r="F156" s="23"/>
      <c r="G156" s="23"/>
      <c r="H156" s="23"/>
      <c r="I156" s="23"/>
      <c r="J156" s="23"/>
      <c r="K156" s="100"/>
      <c r="L156" s="100"/>
    </row>
    <row r="157" spans="3:12" x14ac:dyDescent="0.25">
      <c r="C157" s="23"/>
      <c r="D157" s="23"/>
      <c r="E157" s="23"/>
      <c r="F157" s="23"/>
      <c r="G157" s="23"/>
      <c r="H157" s="23"/>
      <c r="I157" s="23"/>
      <c r="J157" s="23"/>
      <c r="K157" s="100"/>
      <c r="L157" s="100"/>
    </row>
    <row r="158" spans="3:12" x14ac:dyDescent="0.25">
      <c r="C158" s="23"/>
      <c r="D158" s="23"/>
      <c r="E158" s="23"/>
      <c r="F158" s="23"/>
      <c r="G158" s="23"/>
      <c r="H158" s="23"/>
      <c r="I158" s="23"/>
      <c r="J158" s="23"/>
      <c r="K158" s="100"/>
      <c r="L158" s="100"/>
    </row>
    <row r="159" spans="3:12" x14ac:dyDescent="0.25">
      <c r="C159" s="23"/>
      <c r="D159" s="23"/>
      <c r="E159" s="23"/>
      <c r="F159" s="23"/>
      <c r="G159" s="23"/>
      <c r="H159" s="23"/>
      <c r="I159" s="23"/>
      <c r="J159" s="23"/>
      <c r="K159" s="100"/>
      <c r="L159" s="100"/>
    </row>
    <row r="160" spans="3:12" x14ac:dyDescent="0.25">
      <c r="C160" s="23"/>
      <c r="D160" s="23"/>
      <c r="E160" s="23"/>
      <c r="F160" s="23"/>
      <c r="G160" s="23"/>
      <c r="H160" s="23"/>
      <c r="I160" s="23"/>
      <c r="J160" s="23"/>
      <c r="K160" s="100"/>
      <c r="L160" s="100"/>
    </row>
    <row r="161" spans="3:12" x14ac:dyDescent="0.25">
      <c r="C161" s="23"/>
      <c r="D161" s="23"/>
      <c r="E161" s="23"/>
      <c r="F161" s="23"/>
      <c r="G161" s="23"/>
      <c r="H161" s="23"/>
      <c r="I161" s="23"/>
      <c r="J161" s="23"/>
      <c r="K161" s="100"/>
      <c r="L161" s="100"/>
    </row>
    <row r="162" spans="3:12" x14ac:dyDescent="0.25">
      <c r="C162" s="23"/>
      <c r="D162" s="23"/>
      <c r="E162" s="23"/>
      <c r="F162" s="23"/>
      <c r="G162" s="23"/>
      <c r="H162" s="23"/>
      <c r="I162" s="23"/>
      <c r="J162" s="23"/>
      <c r="K162" s="100"/>
      <c r="L162" s="100"/>
    </row>
    <row r="163" spans="3:12" x14ac:dyDescent="0.25">
      <c r="C163" s="23"/>
      <c r="D163" s="23"/>
      <c r="E163" s="23"/>
      <c r="F163" s="23"/>
      <c r="G163" s="23"/>
      <c r="H163" s="23"/>
      <c r="I163" s="23"/>
      <c r="J163" s="23"/>
      <c r="K163" s="100"/>
      <c r="L163" s="100"/>
    </row>
    <row r="164" spans="3:12" x14ac:dyDescent="0.25">
      <c r="C164" s="23"/>
      <c r="D164" s="23"/>
      <c r="E164" s="23"/>
      <c r="F164" s="23"/>
      <c r="G164" s="23"/>
      <c r="H164" s="23"/>
      <c r="I164" s="23"/>
      <c r="J164" s="23"/>
      <c r="K164" s="100"/>
      <c r="L164" s="100"/>
    </row>
    <row r="165" spans="3:12" x14ac:dyDescent="0.25">
      <c r="C165" s="23"/>
      <c r="D165" s="23"/>
      <c r="E165" s="23"/>
      <c r="F165" s="23"/>
      <c r="G165" s="23"/>
      <c r="H165" s="23"/>
      <c r="I165" s="23"/>
      <c r="J165" s="23"/>
      <c r="K165" s="100"/>
      <c r="L165" s="100"/>
    </row>
    <row r="166" spans="3:12" x14ac:dyDescent="0.25">
      <c r="C166" s="23"/>
      <c r="D166" s="23"/>
      <c r="E166" s="23"/>
      <c r="F166" s="23"/>
      <c r="G166" s="23"/>
      <c r="H166" s="23"/>
      <c r="I166" s="23"/>
      <c r="J166" s="23"/>
      <c r="K166" s="100"/>
      <c r="L166" s="100"/>
    </row>
    <row r="167" spans="3:12" x14ac:dyDescent="0.25">
      <c r="C167" s="23"/>
      <c r="D167" s="23"/>
      <c r="E167" s="23"/>
      <c r="F167" s="23"/>
      <c r="G167" s="23"/>
      <c r="H167" s="23"/>
      <c r="I167" s="23"/>
      <c r="J167" s="23"/>
      <c r="K167" s="100"/>
      <c r="L167" s="100"/>
    </row>
    <row r="168" spans="3:12" x14ac:dyDescent="0.25">
      <c r="C168" s="23"/>
      <c r="D168" s="23"/>
      <c r="E168" s="23"/>
      <c r="F168" s="23"/>
      <c r="G168" s="23"/>
      <c r="H168" s="23"/>
      <c r="I168" s="23"/>
      <c r="J168" s="23"/>
      <c r="K168" s="100"/>
      <c r="L168" s="100"/>
    </row>
    <row r="169" spans="3:12" x14ac:dyDescent="0.25">
      <c r="C169" s="23"/>
      <c r="D169" s="23"/>
      <c r="E169" s="23"/>
      <c r="F169" s="23"/>
      <c r="G169" s="23"/>
      <c r="H169" s="23"/>
      <c r="I169" s="23"/>
      <c r="J169" s="23"/>
      <c r="K169" s="100"/>
      <c r="L169" s="100"/>
    </row>
    <row r="170" spans="3:12" x14ac:dyDescent="0.25">
      <c r="C170" s="23"/>
      <c r="D170" s="23"/>
      <c r="E170" s="23"/>
      <c r="F170" s="23"/>
      <c r="G170" s="23"/>
      <c r="H170" s="23"/>
      <c r="I170" s="23"/>
      <c r="J170" s="23"/>
      <c r="K170" s="100"/>
      <c r="L170" s="100"/>
    </row>
    <row r="171" spans="3:12" x14ac:dyDescent="0.25">
      <c r="C171" s="23"/>
      <c r="D171" s="23"/>
      <c r="E171" s="23"/>
      <c r="F171" s="23"/>
      <c r="G171" s="23"/>
      <c r="H171" s="23"/>
      <c r="I171" s="23"/>
      <c r="J171" s="23"/>
      <c r="K171" s="100"/>
      <c r="L171" s="100"/>
    </row>
    <row r="172" spans="3:12" x14ac:dyDescent="0.25">
      <c r="C172" s="23"/>
      <c r="D172" s="23"/>
      <c r="E172" s="23"/>
      <c r="F172" s="23"/>
      <c r="G172" s="23"/>
      <c r="H172" s="23"/>
      <c r="I172" s="23"/>
      <c r="J172" s="23"/>
      <c r="K172" s="100"/>
      <c r="L172" s="100"/>
    </row>
    <row r="173" spans="3:12" x14ac:dyDescent="0.25">
      <c r="C173" s="23"/>
      <c r="D173" s="23"/>
      <c r="E173" s="23"/>
      <c r="F173" s="23"/>
      <c r="G173" s="23"/>
      <c r="H173" s="23"/>
      <c r="I173" s="23"/>
      <c r="J173" s="23"/>
      <c r="K173" s="100"/>
      <c r="L173" s="100"/>
    </row>
    <row r="174" spans="3:12" x14ac:dyDescent="0.25">
      <c r="C174" s="23"/>
      <c r="D174" s="23"/>
      <c r="E174" s="23"/>
      <c r="F174" s="23"/>
      <c r="G174" s="23"/>
      <c r="H174" s="23"/>
      <c r="I174" s="23"/>
      <c r="J174" s="23"/>
      <c r="K174" s="100"/>
      <c r="L174" s="100"/>
    </row>
    <row r="175" spans="3:12" x14ac:dyDescent="0.25">
      <c r="C175" s="23"/>
      <c r="D175" s="23"/>
      <c r="E175" s="23"/>
      <c r="F175" s="23"/>
      <c r="G175" s="23"/>
      <c r="H175" s="23"/>
      <c r="I175" s="23"/>
      <c r="J175" s="23"/>
      <c r="K175" s="100"/>
      <c r="L175" s="100"/>
    </row>
    <row r="176" spans="3:12" x14ac:dyDescent="0.25">
      <c r="C176" s="23"/>
      <c r="D176" s="23"/>
      <c r="E176" s="23"/>
      <c r="F176" s="23"/>
      <c r="G176" s="23"/>
      <c r="H176" s="23"/>
      <c r="I176" s="23"/>
      <c r="J176" s="23"/>
      <c r="K176" s="100"/>
      <c r="L176" s="100"/>
    </row>
    <row r="177" spans="3:12" x14ac:dyDescent="0.25">
      <c r="C177" s="23"/>
      <c r="D177" s="23"/>
      <c r="E177" s="23"/>
      <c r="F177" s="23"/>
      <c r="G177" s="23"/>
      <c r="H177" s="23"/>
      <c r="I177" s="23"/>
      <c r="J177" s="23"/>
      <c r="K177" s="100"/>
      <c r="L177" s="100"/>
    </row>
    <row r="178" spans="3:12" x14ac:dyDescent="0.25">
      <c r="C178" s="23"/>
      <c r="D178" s="23"/>
      <c r="E178" s="23"/>
      <c r="F178" s="23"/>
      <c r="G178" s="23"/>
      <c r="H178" s="23"/>
      <c r="I178" s="23"/>
      <c r="J178" s="23"/>
      <c r="K178" s="100"/>
      <c r="L178" s="100"/>
    </row>
    <row r="179" spans="3:12" x14ac:dyDescent="0.25">
      <c r="C179" s="23"/>
      <c r="D179" s="23"/>
      <c r="E179" s="23"/>
      <c r="F179" s="23"/>
      <c r="G179" s="23"/>
      <c r="H179" s="23"/>
      <c r="I179" s="23"/>
      <c r="J179" s="23"/>
      <c r="K179" s="100"/>
      <c r="L179" s="100"/>
    </row>
    <row r="180" spans="3:12" x14ac:dyDescent="0.25">
      <c r="C180" s="23"/>
      <c r="D180" s="23"/>
      <c r="E180" s="23"/>
      <c r="F180" s="23"/>
      <c r="G180" s="23"/>
      <c r="H180" s="23"/>
      <c r="I180" s="23"/>
      <c r="J180" s="23"/>
      <c r="K180" s="100"/>
      <c r="L180" s="100"/>
    </row>
    <row r="181" spans="3:12" x14ac:dyDescent="0.25">
      <c r="C181" s="23"/>
      <c r="D181" s="23"/>
      <c r="E181" s="23"/>
      <c r="F181" s="23"/>
      <c r="G181" s="23"/>
      <c r="H181" s="23"/>
      <c r="I181" s="23"/>
      <c r="J181" s="23"/>
      <c r="K181" s="100"/>
      <c r="L181" s="100"/>
    </row>
    <row r="182" spans="3:12" x14ac:dyDescent="0.25">
      <c r="C182" s="23"/>
      <c r="D182" s="23"/>
      <c r="E182" s="23"/>
      <c r="F182" s="23"/>
      <c r="G182" s="23"/>
      <c r="H182" s="23"/>
      <c r="I182" s="23"/>
      <c r="J182" s="23"/>
      <c r="K182" s="100"/>
      <c r="L182" s="100"/>
    </row>
    <row r="183" spans="3:12" x14ac:dyDescent="0.25">
      <c r="C183" s="23"/>
      <c r="D183" s="23"/>
      <c r="E183" s="23"/>
      <c r="F183" s="23"/>
      <c r="G183" s="23"/>
      <c r="H183" s="23"/>
      <c r="I183" s="23"/>
      <c r="J183" s="23"/>
      <c r="K183" s="100"/>
      <c r="L183" s="100"/>
    </row>
    <row r="184" spans="3:12" x14ac:dyDescent="0.25">
      <c r="C184" s="23"/>
      <c r="D184" s="23"/>
      <c r="E184" s="23"/>
      <c r="F184" s="23"/>
      <c r="G184" s="23"/>
      <c r="H184" s="23"/>
      <c r="I184" s="23"/>
      <c r="J184" s="23"/>
      <c r="K184" s="100"/>
      <c r="L184" s="100"/>
    </row>
    <row r="185" spans="3:12" x14ac:dyDescent="0.25">
      <c r="C185" s="23"/>
      <c r="D185" s="23"/>
      <c r="E185" s="23"/>
      <c r="F185" s="23"/>
      <c r="G185" s="23"/>
      <c r="H185" s="23"/>
      <c r="I185" s="23"/>
      <c r="J185" s="23"/>
      <c r="K185" s="100"/>
      <c r="L185" s="100"/>
    </row>
    <row r="186" spans="3:12" x14ac:dyDescent="0.25">
      <c r="C186" s="23"/>
      <c r="D186" s="23"/>
      <c r="E186" s="23"/>
      <c r="F186" s="23"/>
      <c r="G186" s="23"/>
      <c r="H186" s="23"/>
      <c r="I186" s="23"/>
      <c r="J186" s="23"/>
      <c r="K186" s="100"/>
      <c r="L186" s="100"/>
    </row>
    <row r="187" spans="3:12" x14ac:dyDescent="0.25">
      <c r="C187" s="23"/>
      <c r="D187" s="23"/>
      <c r="E187" s="23"/>
      <c r="F187" s="23"/>
      <c r="G187" s="23"/>
      <c r="H187" s="23"/>
      <c r="I187" s="23"/>
      <c r="J187" s="23"/>
      <c r="K187" s="100"/>
      <c r="L187" s="100"/>
    </row>
    <row r="188" spans="3:12" x14ac:dyDescent="0.25">
      <c r="C188" s="23"/>
      <c r="D188" s="23"/>
      <c r="E188" s="23"/>
      <c r="F188" s="23"/>
      <c r="G188" s="23"/>
      <c r="H188" s="23"/>
      <c r="I188" s="23"/>
      <c r="J188" s="23"/>
      <c r="K188" s="100"/>
      <c r="L188" s="100"/>
    </row>
    <row r="189" spans="3:12" x14ac:dyDescent="0.25">
      <c r="C189" s="23"/>
      <c r="D189" s="23"/>
      <c r="E189" s="23"/>
      <c r="F189" s="23"/>
      <c r="G189" s="23"/>
      <c r="H189" s="23"/>
      <c r="I189" s="23"/>
      <c r="J189" s="23"/>
      <c r="K189" s="100"/>
      <c r="L189" s="100"/>
    </row>
    <row r="190" spans="3:12" x14ac:dyDescent="0.25">
      <c r="C190" s="23"/>
      <c r="D190" s="23"/>
      <c r="E190" s="23"/>
      <c r="F190" s="23"/>
      <c r="G190" s="23"/>
      <c r="H190" s="23"/>
      <c r="I190" s="23"/>
      <c r="J190" s="23"/>
      <c r="K190" s="100"/>
      <c r="L190" s="100"/>
    </row>
    <row r="191" spans="3:12" x14ac:dyDescent="0.25">
      <c r="C191" s="23"/>
      <c r="D191" s="23"/>
      <c r="E191" s="23"/>
      <c r="F191" s="23"/>
      <c r="G191" s="23"/>
      <c r="H191" s="23"/>
      <c r="I191" s="23"/>
      <c r="J191" s="23"/>
      <c r="K191" s="100"/>
      <c r="L191" s="100"/>
    </row>
    <row r="192" spans="3:12" x14ac:dyDescent="0.25">
      <c r="C192" s="23"/>
      <c r="D192" s="23"/>
      <c r="E192" s="23"/>
      <c r="F192" s="23"/>
      <c r="G192" s="23"/>
      <c r="H192" s="23"/>
      <c r="I192" s="23"/>
      <c r="J192" s="23"/>
      <c r="K192" s="100"/>
      <c r="L192" s="100"/>
    </row>
    <row r="193" spans="3:12" x14ac:dyDescent="0.25">
      <c r="C193" s="23"/>
      <c r="D193" s="23"/>
      <c r="E193" s="23"/>
      <c r="F193" s="23"/>
      <c r="G193" s="23"/>
      <c r="H193" s="23"/>
      <c r="I193" s="23"/>
      <c r="J193" s="23"/>
      <c r="K193" s="100"/>
      <c r="L193" s="100"/>
    </row>
    <row r="194" spans="3:12" x14ac:dyDescent="0.25">
      <c r="C194" s="23"/>
      <c r="D194" s="23"/>
      <c r="E194" s="23"/>
      <c r="F194" s="23"/>
      <c r="G194" s="23"/>
      <c r="H194" s="23"/>
      <c r="I194" s="23"/>
      <c r="J194" s="23"/>
      <c r="K194" s="100"/>
      <c r="L194" s="100"/>
    </row>
    <row r="195" spans="3:12" x14ac:dyDescent="0.25">
      <c r="C195" s="23"/>
      <c r="D195" s="23"/>
      <c r="E195" s="23"/>
      <c r="F195" s="23"/>
      <c r="G195" s="23"/>
      <c r="H195" s="23"/>
      <c r="I195" s="23"/>
      <c r="J195" s="23"/>
      <c r="K195" s="100"/>
      <c r="L195" s="100"/>
    </row>
    <row r="196" spans="3:12" x14ac:dyDescent="0.25">
      <c r="C196" s="23"/>
      <c r="D196" s="23"/>
      <c r="E196" s="23"/>
      <c r="F196" s="23"/>
      <c r="G196" s="23"/>
      <c r="H196" s="23"/>
      <c r="I196" s="23"/>
      <c r="J196" s="23"/>
      <c r="K196" s="100"/>
      <c r="L196" s="100"/>
    </row>
    <row r="197" spans="3:12" x14ac:dyDescent="0.25">
      <c r="C197" s="23"/>
      <c r="D197" s="23"/>
      <c r="E197" s="23"/>
      <c r="F197" s="23"/>
      <c r="G197" s="23"/>
      <c r="H197" s="23"/>
      <c r="I197" s="23"/>
      <c r="J197" s="23"/>
      <c r="K197" s="100"/>
      <c r="L197" s="100"/>
    </row>
    <row r="198" spans="3:12" x14ac:dyDescent="0.25">
      <c r="C198" s="23"/>
      <c r="D198" s="23"/>
      <c r="E198" s="23"/>
      <c r="F198" s="23"/>
      <c r="G198" s="23"/>
      <c r="H198" s="23"/>
      <c r="I198" s="23"/>
      <c r="J198" s="23"/>
      <c r="K198" s="100"/>
      <c r="L198" s="100"/>
    </row>
    <row r="199" spans="3:12" x14ac:dyDescent="0.25">
      <c r="C199" s="23"/>
      <c r="D199" s="23"/>
      <c r="E199" s="23"/>
      <c r="F199" s="23"/>
      <c r="G199" s="23"/>
      <c r="H199" s="23"/>
      <c r="I199" s="23"/>
      <c r="J199" s="23"/>
      <c r="K199" s="100"/>
      <c r="L199" s="100"/>
    </row>
    <row r="200" spans="3:12" x14ac:dyDescent="0.25">
      <c r="C200" s="23"/>
      <c r="D200" s="23"/>
      <c r="E200" s="23"/>
      <c r="F200" s="23"/>
      <c r="G200" s="23"/>
      <c r="H200" s="23"/>
      <c r="I200" s="23"/>
      <c r="J200" s="23"/>
      <c r="K200" s="100"/>
      <c r="L200" s="100"/>
    </row>
    <row r="201" spans="3:12" x14ac:dyDescent="0.25">
      <c r="C201" s="23"/>
      <c r="D201" s="23"/>
      <c r="E201" s="23"/>
      <c r="F201" s="23"/>
      <c r="G201" s="23"/>
      <c r="H201" s="23"/>
      <c r="I201" s="23"/>
      <c r="J201" s="23"/>
      <c r="K201" s="100"/>
      <c r="L201" s="100"/>
    </row>
    <row r="202" spans="3:12" x14ac:dyDescent="0.25">
      <c r="C202" s="23"/>
      <c r="D202" s="23"/>
      <c r="E202" s="23"/>
      <c r="F202" s="23"/>
      <c r="G202" s="23"/>
      <c r="H202" s="23"/>
      <c r="I202" s="23"/>
      <c r="J202" s="23"/>
      <c r="K202" s="100"/>
      <c r="L202" s="100"/>
    </row>
    <row r="203" spans="3:12" x14ac:dyDescent="0.25">
      <c r="C203" s="23"/>
      <c r="D203" s="23"/>
      <c r="E203" s="23"/>
      <c r="F203" s="23"/>
      <c r="G203" s="23"/>
      <c r="H203" s="23"/>
      <c r="I203" s="23"/>
      <c r="J203" s="23"/>
      <c r="K203" s="100"/>
      <c r="L203" s="100"/>
    </row>
    <row r="204" spans="3:12" x14ac:dyDescent="0.25">
      <c r="C204" s="23"/>
      <c r="D204" s="23"/>
      <c r="E204" s="23"/>
      <c r="F204" s="23"/>
      <c r="G204" s="23"/>
      <c r="H204" s="23"/>
      <c r="I204" s="23"/>
      <c r="J204" s="23"/>
      <c r="K204" s="100"/>
      <c r="L204" s="100"/>
    </row>
    <row r="205" spans="3:12" x14ac:dyDescent="0.25">
      <c r="C205" s="23"/>
      <c r="D205" s="23"/>
      <c r="E205" s="23"/>
      <c r="F205" s="23"/>
      <c r="G205" s="23"/>
      <c r="H205" s="23"/>
      <c r="I205" s="23"/>
      <c r="J205" s="23"/>
      <c r="K205" s="100"/>
      <c r="L205" s="100"/>
    </row>
    <row r="206" spans="3:12" x14ac:dyDescent="0.25">
      <c r="C206" s="23"/>
      <c r="D206" s="23"/>
      <c r="E206" s="23"/>
      <c r="F206" s="23"/>
      <c r="G206" s="23"/>
      <c r="H206" s="23"/>
      <c r="I206" s="23"/>
      <c r="J206" s="23"/>
      <c r="K206" s="100"/>
      <c r="L206" s="100"/>
    </row>
    <row r="207" spans="3:12" x14ac:dyDescent="0.25">
      <c r="C207" s="23"/>
      <c r="D207" s="23"/>
      <c r="E207" s="23"/>
      <c r="F207" s="23"/>
      <c r="G207" s="23"/>
      <c r="H207" s="23"/>
      <c r="I207" s="23"/>
      <c r="J207" s="23"/>
      <c r="K207" s="100"/>
      <c r="L207" s="100"/>
    </row>
    <row r="208" spans="3:12" x14ac:dyDescent="0.25">
      <c r="C208" s="23"/>
      <c r="D208" s="23"/>
      <c r="E208" s="23"/>
      <c r="F208" s="23"/>
      <c r="G208" s="23"/>
      <c r="H208" s="23"/>
      <c r="I208" s="23"/>
      <c r="J208" s="23"/>
      <c r="K208" s="100"/>
      <c r="L208" s="100"/>
    </row>
    <row r="209" spans="3:12" x14ac:dyDescent="0.25">
      <c r="C209" s="23"/>
      <c r="D209" s="23"/>
      <c r="E209" s="23"/>
      <c r="F209" s="23"/>
      <c r="G209" s="23"/>
      <c r="H209" s="23"/>
      <c r="I209" s="23"/>
      <c r="J209" s="23"/>
      <c r="K209" s="100"/>
      <c r="L209" s="100"/>
    </row>
    <row r="210" spans="3:12" x14ac:dyDescent="0.25">
      <c r="C210" s="23"/>
      <c r="D210" s="23"/>
      <c r="E210" s="23"/>
      <c r="F210" s="23"/>
      <c r="G210" s="23"/>
      <c r="H210" s="23"/>
      <c r="I210" s="23"/>
      <c r="J210" s="23"/>
      <c r="K210" s="100"/>
      <c r="L210" s="100"/>
    </row>
    <row r="211" spans="3:12" x14ac:dyDescent="0.25">
      <c r="C211" s="23"/>
      <c r="D211" s="23"/>
      <c r="E211" s="23"/>
      <c r="F211" s="23"/>
      <c r="G211" s="23"/>
      <c r="H211" s="23"/>
      <c r="I211" s="23"/>
      <c r="J211" s="23"/>
      <c r="K211" s="100"/>
      <c r="L211" s="100"/>
    </row>
    <row r="212" spans="3:12" x14ac:dyDescent="0.25">
      <c r="C212" s="23"/>
      <c r="D212" s="23"/>
      <c r="E212" s="23"/>
      <c r="F212" s="23"/>
      <c r="G212" s="23"/>
      <c r="H212" s="23"/>
      <c r="I212" s="23"/>
      <c r="J212" s="23"/>
      <c r="K212" s="100"/>
      <c r="L212" s="100"/>
    </row>
    <row r="213" spans="3:12" x14ac:dyDescent="0.25">
      <c r="C213" s="23"/>
      <c r="D213" s="23"/>
      <c r="E213" s="23"/>
      <c r="F213" s="23"/>
      <c r="G213" s="23"/>
      <c r="H213" s="23"/>
      <c r="I213" s="23"/>
      <c r="J213" s="23"/>
      <c r="K213" s="100"/>
      <c r="L213" s="100"/>
    </row>
    <row r="214" spans="3:12" x14ac:dyDescent="0.25">
      <c r="C214" s="23"/>
      <c r="D214" s="23"/>
      <c r="E214" s="23"/>
      <c r="F214" s="23"/>
      <c r="G214" s="23"/>
      <c r="H214" s="23"/>
      <c r="I214" s="23"/>
      <c r="J214" s="23"/>
      <c r="K214" s="100"/>
      <c r="L214" s="100"/>
    </row>
    <row r="215" spans="3:12" x14ac:dyDescent="0.25">
      <c r="C215" s="23"/>
      <c r="D215" s="23"/>
      <c r="E215" s="23"/>
      <c r="F215" s="23"/>
      <c r="G215" s="23"/>
      <c r="H215" s="23"/>
      <c r="I215" s="23"/>
      <c r="J215" s="23"/>
      <c r="K215" s="100"/>
      <c r="L215" s="100"/>
    </row>
    <row r="216" spans="3:12" x14ac:dyDescent="0.25">
      <c r="C216" s="23"/>
      <c r="D216" s="23"/>
      <c r="E216" s="23"/>
      <c r="F216" s="23"/>
      <c r="G216" s="23"/>
      <c r="H216" s="23"/>
      <c r="I216" s="23"/>
      <c r="J216" s="23"/>
      <c r="K216" s="100"/>
      <c r="L216" s="100"/>
    </row>
    <row r="217" spans="3:12" x14ac:dyDescent="0.25">
      <c r="C217" s="23"/>
      <c r="D217" s="23"/>
      <c r="E217" s="23"/>
      <c r="F217" s="23"/>
      <c r="G217" s="23"/>
      <c r="H217" s="23"/>
      <c r="I217" s="23"/>
      <c r="J217" s="23"/>
      <c r="K217" s="100"/>
      <c r="L217" s="100"/>
    </row>
    <row r="218" spans="3:12" x14ac:dyDescent="0.25">
      <c r="C218" s="23"/>
      <c r="D218" s="23"/>
      <c r="E218" s="23"/>
      <c r="F218" s="23"/>
      <c r="G218" s="23"/>
      <c r="H218" s="23"/>
      <c r="I218" s="23"/>
      <c r="J218" s="23"/>
      <c r="K218" s="100"/>
      <c r="L218" s="100"/>
    </row>
    <row r="219" spans="3:12" x14ac:dyDescent="0.25">
      <c r="C219" s="23"/>
      <c r="D219" s="23"/>
      <c r="E219" s="23"/>
      <c r="F219" s="23"/>
      <c r="G219" s="23"/>
      <c r="H219" s="23"/>
      <c r="I219" s="23"/>
      <c r="J219" s="23"/>
      <c r="K219" s="100"/>
      <c r="L219" s="100"/>
    </row>
    <row r="220" spans="3:12" x14ac:dyDescent="0.25">
      <c r="C220" s="23"/>
      <c r="D220" s="23"/>
      <c r="E220" s="23"/>
      <c r="F220" s="23"/>
      <c r="G220" s="23"/>
      <c r="H220" s="23"/>
      <c r="I220" s="23"/>
      <c r="J220" s="23"/>
      <c r="K220" s="100"/>
      <c r="L220" s="100"/>
    </row>
    <row r="221" spans="3:12" x14ac:dyDescent="0.25">
      <c r="C221" s="23"/>
      <c r="D221" s="23"/>
      <c r="E221" s="23"/>
      <c r="F221" s="23"/>
      <c r="G221" s="23"/>
      <c r="H221" s="23"/>
      <c r="I221" s="23"/>
      <c r="J221" s="23"/>
      <c r="K221" s="100"/>
      <c r="L221" s="100"/>
    </row>
    <row r="222" spans="3:12" x14ac:dyDescent="0.25">
      <c r="C222" s="23"/>
      <c r="D222" s="23"/>
      <c r="E222" s="23"/>
      <c r="F222" s="23"/>
      <c r="G222" s="23"/>
      <c r="H222" s="23"/>
      <c r="I222" s="23"/>
      <c r="J222" s="23"/>
      <c r="K222" s="100"/>
      <c r="L222" s="100"/>
    </row>
    <row r="223" spans="3:12" x14ac:dyDescent="0.25">
      <c r="C223" s="23"/>
      <c r="D223" s="23"/>
      <c r="E223" s="23"/>
      <c r="F223" s="23"/>
      <c r="G223" s="23"/>
      <c r="H223" s="23"/>
      <c r="I223" s="23"/>
      <c r="J223" s="23"/>
      <c r="K223" s="100"/>
      <c r="L223" s="100"/>
    </row>
    <row r="224" spans="3:12" x14ac:dyDescent="0.25">
      <c r="C224" s="23"/>
      <c r="D224" s="23"/>
      <c r="E224" s="23"/>
      <c r="F224" s="23"/>
      <c r="G224" s="23"/>
      <c r="H224" s="23"/>
      <c r="I224" s="23"/>
      <c r="J224" s="23"/>
      <c r="K224" s="100"/>
      <c r="L224" s="100"/>
    </row>
    <row r="225" spans="3:12" x14ac:dyDescent="0.25">
      <c r="C225" s="23"/>
      <c r="D225" s="23"/>
      <c r="E225" s="23"/>
      <c r="F225" s="23"/>
      <c r="G225" s="23"/>
      <c r="H225" s="23"/>
      <c r="I225" s="23"/>
      <c r="J225" s="23"/>
      <c r="K225" s="100"/>
      <c r="L225" s="100"/>
    </row>
    <row r="226" spans="3:12" x14ac:dyDescent="0.25">
      <c r="C226" s="23"/>
      <c r="D226" s="23"/>
      <c r="E226" s="23"/>
      <c r="F226" s="23"/>
      <c r="G226" s="23"/>
      <c r="H226" s="23"/>
      <c r="I226" s="23"/>
      <c r="J226" s="23"/>
      <c r="K226" s="100"/>
      <c r="L226" s="100"/>
    </row>
    <row r="227" spans="3:12" x14ac:dyDescent="0.25">
      <c r="C227" s="23"/>
      <c r="D227" s="23"/>
      <c r="E227" s="23"/>
      <c r="F227" s="23"/>
      <c r="G227" s="23"/>
      <c r="H227" s="23"/>
      <c r="I227" s="23"/>
      <c r="J227" s="23"/>
      <c r="K227" s="100"/>
      <c r="L227" s="100"/>
    </row>
    <row r="228" spans="3:12" x14ac:dyDescent="0.25">
      <c r="C228" s="23"/>
      <c r="D228" s="23"/>
      <c r="E228" s="23"/>
      <c r="F228" s="23"/>
      <c r="G228" s="23"/>
      <c r="H228" s="23"/>
      <c r="I228" s="23"/>
      <c r="J228" s="23"/>
      <c r="K228" s="100"/>
      <c r="L228" s="100"/>
    </row>
    <row r="229" spans="3:12" x14ac:dyDescent="0.25">
      <c r="C229" s="23"/>
      <c r="D229" s="23"/>
      <c r="E229" s="23"/>
      <c r="F229" s="23"/>
      <c r="G229" s="23"/>
      <c r="H229" s="23"/>
      <c r="I229" s="23"/>
      <c r="J229" s="23"/>
      <c r="K229" s="100"/>
      <c r="L229" s="100"/>
    </row>
    <row r="230" spans="3:12" x14ac:dyDescent="0.25">
      <c r="C230" s="23"/>
      <c r="D230" s="23"/>
      <c r="E230" s="23"/>
      <c r="F230" s="23"/>
      <c r="G230" s="23"/>
      <c r="H230" s="23"/>
      <c r="I230" s="23"/>
      <c r="J230" s="23"/>
      <c r="K230" s="100"/>
      <c r="L230" s="100"/>
    </row>
    <row r="231" spans="3:12" x14ac:dyDescent="0.25">
      <c r="C231" s="23"/>
      <c r="D231" s="23"/>
      <c r="E231" s="23"/>
      <c r="F231" s="23"/>
      <c r="G231" s="23"/>
      <c r="H231" s="23"/>
      <c r="I231" s="23"/>
      <c r="J231" s="23"/>
      <c r="K231" s="100"/>
      <c r="L231" s="100"/>
    </row>
    <row r="232" spans="3:12" x14ac:dyDescent="0.25">
      <c r="C232" s="23"/>
      <c r="D232" s="23"/>
      <c r="E232" s="23"/>
      <c r="F232" s="23"/>
      <c r="G232" s="23"/>
      <c r="H232" s="23"/>
      <c r="I232" s="23"/>
      <c r="J232" s="23"/>
      <c r="K232" s="100"/>
      <c r="L232" s="100"/>
    </row>
    <row r="233" spans="3:12" x14ac:dyDescent="0.25">
      <c r="C233" s="23"/>
      <c r="D233" s="23"/>
      <c r="E233" s="23"/>
      <c r="F233" s="23"/>
      <c r="G233" s="23"/>
      <c r="H233" s="23"/>
      <c r="I233" s="23"/>
      <c r="J233" s="23"/>
      <c r="K233" s="100"/>
      <c r="L233" s="100"/>
    </row>
    <row r="234" spans="3:12" x14ac:dyDescent="0.25">
      <c r="C234" s="23"/>
      <c r="D234" s="23"/>
      <c r="E234" s="23"/>
      <c r="F234" s="23"/>
      <c r="G234" s="23"/>
      <c r="H234" s="23"/>
      <c r="I234" s="23"/>
      <c r="J234" s="23"/>
      <c r="K234" s="100"/>
      <c r="L234" s="23"/>
    </row>
    <row r="235" spans="3:12" x14ac:dyDescent="0.25">
      <c r="C235" s="23"/>
      <c r="D235" s="23"/>
      <c r="E235" s="23"/>
      <c r="F235" s="23"/>
      <c r="G235" s="23"/>
      <c r="H235" s="23"/>
      <c r="I235" s="23"/>
      <c r="J235" s="23"/>
      <c r="K235" s="100"/>
      <c r="L235" s="100"/>
    </row>
    <row r="236" spans="3:12" x14ac:dyDescent="0.25">
      <c r="C236" s="23"/>
      <c r="D236" s="23"/>
      <c r="E236" s="23"/>
      <c r="F236" s="23"/>
      <c r="G236" s="23"/>
      <c r="H236" s="23"/>
      <c r="I236" s="23"/>
      <c r="J236" s="23"/>
      <c r="K236" s="100"/>
      <c r="L236" s="100"/>
    </row>
    <row r="237" spans="3:12" x14ac:dyDescent="0.25">
      <c r="C237" s="23"/>
      <c r="D237" s="23"/>
      <c r="E237" s="23"/>
      <c r="F237" s="23"/>
      <c r="G237" s="23"/>
      <c r="H237" s="23"/>
      <c r="I237" s="23"/>
      <c r="J237" s="23"/>
      <c r="K237" s="100"/>
      <c r="L237" s="100"/>
    </row>
    <row r="238" spans="3:12" x14ac:dyDescent="0.25">
      <c r="C238" s="23"/>
      <c r="D238" s="23"/>
      <c r="E238" s="23"/>
      <c r="F238" s="23"/>
      <c r="G238" s="23"/>
      <c r="H238" s="23"/>
      <c r="I238" s="23"/>
      <c r="J238" s="23"/>
      <c r="K238" s="100"/>
      <c r="L238" s="100"/>
    </row>
    <row r="239" spans="3:12" x14ac:dyDescent="0.25">
      <c r="C239" s="23"/>
      <c r="D239" s="23"/>
      <c r="E239" s="23"/>
      <c r="F239" s="23"/>
      <c r="G239" s="23"/>
      <c r="H239" s="23"/>
      <c r="I239" s="23"/>
      <c r="J239" s="23"/>
      <c r="K239" s="100"/>
      <c r="L239" s="100"/>
    </row>
    <row r="240" spans="3:12" x14ac:dyDescent="0.25">
      <c r="C240" s="23"/>
      <c r="D240" s="23"/>
      <c r="E240" s="23"/>
      <c r="F240" s="23"/>
      <c r="G240" s="23"/>
      <c r="H240" s="23"/>
      <c r="I240" s="23"/>
      <c r="J240" s="23"/>
      <c r="K240" s="100"/>
      <c r="L240" s="100"/>
    </row>
    <row r="241" spans="3:12" x14ac:dyDescent="0.25">
      <c r="C241" s="23"/>
      <c r="D241" s="23"/>
      <c r="E241" s="23"/>
      <c r="F241" s="23"/>
      <c r="G241" s="23"/>
      <c r="H241" s="23"/>
      <c r="I241" s="23"/>
      <c r="J241" s="23"/>
      <c r="K241" s="100"/>
      <c r="L241" s="100"/>
    </row>
    <row r="242" spans="3:12" x14ac:dyDescent="0.25">
      <c r="C242" s="23"/>
      <c r="D242" s="23"/>
      <c r="E242" s="23"/>
      <c r="F242" s="23"/>
      <c r="G242" s="23"/>
      <c r="H242" s="23"/>
      <c r="I242" s="23"/>
      <c r="J242" s="23"/>
      <c r="K242" s="100"/>
      <c r="L242" s="100"/>
    </row>
    <row r="243" spans="3:12" x14ac:dyDescent="0.25">
      <c r="C243" s="23"/>
      <c r="D243" s="23"/>
      <c r="E243" s="23"/>
      <c r="F243" s="23"/>
      <c r="G243" s="23"/>
      <c r="H243" s="23"/>
      <c r="I243" s="23"/>
      <c r="J243" s="23"/>
      <c r="K243" s="100"/>
      <c r="L243" s="100"/>
    </row>
    <row r="244" spans="3:12" x14ac:dyDescent="0.25">
      <c r="C244" s="23"/>
      <c r="D244" s="23"/>
      <c r="E244" s="23"/>
      <c r="F244" s="23"/>
      <c r="G244" s="23"/>
      <c r="H244" s="23"/>
      <c r="I244" s="23"/>
      <c r="J244" s="23"/>
      <c r="K244" s="100"/>
      <c r="L244" s="100"/>
    </row>
    <row r="245" spans="3:12" x14ac:dyDescent="0.25">
      <c r="C245" s="23"/>
      <c r="D245" s="23"/>
      <c r="E245" s="23"/>
      <c r="F245" s="23"/>
      <c r="G245" s="23"/>
      <c r="H245" s="23"/>
      <c r="I245" s="23"/>
      <c r="J245" s="23"/>
      <c r="K245" s="100"/>
      <c r="L245" s="100"/>
    </row>
    <row r="246" spans="3:12" x14ac:dyDescent="0.25">
      <c r="C246" s="23"/>
      <c r="D246" s="23"/>
      <c r="E246" s="23"/>
      <c r="F246" s="23"/>
      <c r="G246" s="23"/>
      <c r="H246" s="23"/>
      <c r="I246" s="23"/>
      <c r="J246" s="23"/>
      <c r="K246" s="100"/>
      <c r="L246" s="100"/>
    </row>
    <row r="247" spans="3:12" x14ac:dyDescent="0.25">
      <c r="C247" s="23"/>
      <c r="D247" s="23"/>
      <c r="E247" s="23"/>
      <c r="F247" s="23"/>
      <c r="G247" s="23"/>
      <c r="H247" s="23"/>
      <c r="I247" s="23"/>
      <c r="J247" s="23"/>
      <c r="K247" s="100"/>
      <c r="L247" s="23"/>
    </row>
    <row r="248" spans="3:12" x14ac:dyDescent="0.25">
      <c r="C248" s="23"/>
      <c r="D248" s="23"/>
      <c r="E248" s="23"/>
      <c r="F248" s="23"/>
      <c r="G248" s="23"/>
      <c r="H248" s="23"/>
      <c r="I248" s="23"/>
      <c r="J248" s="23"/>
      <c r="K248" s="23"/>
      <c r="L248" s="23"/>
    </row>
    <row r="249" spans="3:12" x14ac:dyDescent="0.25">
      <c r="C249" s="23"/>
      <c r="D249" s="23"/>
      <c r="E249" s="23"/>
      <c r="F249" s="23"/>
      <c r="G249" s="23"/>
      <c r="H249" s="23"/>
      <c r="I249" s="23"/>
      <c r="J249" s="23"/>
      <c r="K249" s="23"/>
      <c r="L249" s="23"/>
    </row>
    <row r="250" spans="3:12" x14ac:dyDescent="0.25">
      <c r="C250" s="23"/>
      <c r="D250" s="23"/>
      <c r="E250" s="23"/>
      <c r="F250" s="23"/>
      <c r="G250" s="23"/>
      <c r="H250" s="23"/>
      <c r="I250" s="23"/>
      <c r="J250" s="23"/>
      <c r="K250" s="23"/>
      <c r="L250" s="23"/>
    </row>
    <row r="251" spans="3:12" x14ac:dyDescent="0.25">
      <c r="C251" s="23"/>
      <c r="D251" s="23"/>
      <c r="E251" s="23"/>
      <c r="F251" s="23"/>
      <c r="G251" s="23"/>
      <c r="H251" s="23"/>
      <c r="I251" s="23"/>
      <c r="J251" s="23"/>
      <c r="K251" s="23"/>
      <c r="L251" s="23"/>
    </row>
    <row r="252" spans="3:12" x14ac:dyDescent="0.25">
      <c r="C252" s="23"/>
      <c r="D252" s="23"/>
      <c r="E252" s="23"/>
      <c r="F252" s="23"/>
      <c r="G252" s="23"/>
      <c r="H252" s="23"/>
      <c r="I252" s="23"/>
      <c r="J252" s="23"/>
      <c r="K252" s="23"/>
      <c r="L252" s="23"/>
    </row>
    <row r="253" spans="3:12" x14ac:dyDescent="0.25">
      <c r="C253" s="23"/>
      <c r="D253" s="23"/>
      <c r="E253" s="23"/>
      <c r="F253" s="23"/>
      <c r="G253" s="23"/>
      <c r="H253" s="23"/>
      <c r="I253" s="23"/>
      <c r="J253" s="23"/>
      <c r="K253" s="23"/>
      <c r="L253" s="23"/>
    </row>
    <row r="254" spans="3:12" x14ac:dyDescent="0.25">
      <c r="C254" s="23"/>
      <c r="D254" s="23"/>
      <c r="E254" s="23"/>
      <c r="F254" s="23"/>
      <c r="G254" s="23"/>
      <c r="H254" s="23"/>
      <c r="I254" s="23"/>
      <c r="J254" s="23"/>
      <c r="K254" s="23"/>
      <c r="L254" s="23"/>
    </row>
    <row r="255" spans="3:12" x14ac:dyDescent="0.25">
      <c r="C255" s="23"/>
      <c r="D255" s="23"/>
      <c r="E255" s="23"/>
      <c r="F255" s="23"/>
      <c r="G255" s="23"/>
      <c r="H255" s="23"/>
      <c r="I255" s="23"/>
      <c r="J255" s="23"/>
      <c r="K255" s="23"/>
      <c r="L255" s="23"/>
    </row>
    <row r="256" spans="3:12" x14ac:dyDescent="0.25">
      <c r="C256" s="23"/>
      <c r="D256" s="23"/>
      <c r="E256" s="23"/>
      <c r="F256" s="23"/>
      <c r="G256" s="23"/>
      <c r="H256" s="23"/>
      <c r="I256" s="23"/>
      <c r="J256" s="23"/>
      <c r="K256" s="23"/>
      <c r="L256" s="23"/>
    </row>
    <row r="257" spans="3:12" x14ac:dyDescent="0.25">
      <c r="C257" s="23"/>
      <c r="D257" s="23"/>
      <c r="E257" s="23"/>
      <c r="F257" s="23"/>
      <c r="G257" s="23"/>
      <c r="H257" s="23"/>
      <c r="I257" s="23"/>
      <c r="J257" s="23"/>
      <c r="K257" s="23"/>
      <c r="L257" s="23"/>
    </row>
    <row r="258" spans="3:12" x14ac:dyDescent="0.25">
      <c r="C258" s="23"/>
      <c r="D258" s="23"/>
      <c r="E258" s="23"/>
      <c r="F258" s="23"/>
      <c r="G258" s="23"/>
      <c r="H258" s="23"/>
      <c r="I258" s="23"/>
      <c r="J258" s="23"/>
      <c r="K258" s="23"/>
      <c r="L258" s="23"/>
    </row>
    <row r="259" spans="3:12" x14ac:dyDescent="0.25">
      <c r="C259" s="23"/>
      <c r="D259" s="23"/>
      <c r="E259" s="23"/>
      <c r="F259" s="23"/>
      <c r="G259" s="23"/>
      <c r="H259" s="23"/>
      <c r="I259" s="23"/>
      <c r="J259" s="23"/>
      <c r="K259" s="23"/>
      <c r="L259" s="23"/>
    </row>
    <row r="260" spans="3:12" x14ac:dyDescent="0.25">
      <c r="C260" s="23"/>
      <c r="D260" s="23"/>
      <c r="E260" s="23"/>
      <c r="F260" s="23"/>
      <c r="G260" s="23"/>
      <c r="H260" s="23"/>
      <c r="I260" s="23"/>
      <c r="J260" s="23"/>
      <c r="K260" s="23"/>
      <c r="L260" s="23"/>
    </row>
    <row r="261" spans="3:12" x14ac:dyDescent="0.25">
      <c r="C261" s="23"/>
      <c r="D261" s="23"/>
      <c r="E261" s="23"/>
      <c r="F261" s="23"/>
      <c r="G261" s="23"/>
      <c r="H261" s="23"/>
      <c r="I261" s="23"/>
      <c r="J261" s="23"/>
      <c r="K261" s="23"/>
      <c r="L261" s="23"/>
    </row>
    <row r="262" spans="3:12" x14ac:dyDescent="0.25">
      <c r="C262" s="23"/>
      <c r="D262" s="23"/>
      <c r="E262" s="23"/>
      <c r="F262" s="23"/>
      <c r="G262" s="23"/>
      <c r="H262" s="23"/>
      <c r="I262" s="23"/>
      <c r="J262" s="23"/>
      <c r="K262" s="23"/>
      <c r="L262" s="23"/>
    </row>
    <row r="263" spans="3:12" x14ac:dyDescent="0.25">
      <c r="C263" s="23"/>
      <c r="D263" s="23"/>
      <c r="E263" s="23"/>
      <c r="F263" s="23"/>
      <c r="G263" s="23"/>
      <c r="H263" s="23"/>
      <c r="I263" s="23"/>
      <c r="J263" s="23"/>
      <c r="K263" s="23"/>
      <c r="L263" s="23"/>
    </row>
    <row r="264" spans="3:12" x14ac:dyDescent="0.25">
      <c r="C264" s="23"/>
      <c r="D264" s="23"/>
      <c r="E264" s="23"/>
      <c r="F264" s="23"/>
      <c r="G264" s="23"/>
      <c r="H264" s="23"/>
      <c r="I264" s="23"/>
      <c r="J264" s="23"/>
      <c r="K264" s="23"/>
      <c r="L264" s="23"/>
    </row>
    <row r="265" spans="3:12" x14ac:dyDescent="0.25">
      <c r="C265" s="23"/>
      <c r="D265" s="23"/>
      <c r="E265" s="23"/>
      <c r="F265" s="23"/>
      <c r="G265" s="23"/>
      <c r="H265" s="23"/>
      <c r="I265" s="23"/>
      <c r="J265" s="23"/>
      <c r="K265" s="23"/>
      <c r="L265" s="23"/>
    </row>
    <row r="266" spans="3:12" x14ac:dyDescent="0.25">
      <c r="C266" s="23"/>
      <c r="D266" s="23"/>
      <c r="E266" s="23"/>
      <c r="F266" s="23"/>
      <c r="G266" s="23"/>
      <c r="H266" s="23"/>
      <c r="I266" s="23"/>
      <c r="J266" s="23"/>
      <c r="K266" s="23"/>
      <c r="L266" s="23"/>
    </row>
    <row r="267" spans="3:12" x14ac:dyDescent="0.25">
      <c r="C267" s="23"/>
      <c r="D267" s="23"/>
      <c r="E267" s="23"/>
      <c r="F267" s="23"/>
      <c r="G267" s="23"/>
      <c r="H267" s="23"/>
      <c r="I267" s="23"/>
      <c r="J267" s="23"/>
      <c r="K267" s="23"/>
      <c r="L267" s="23"/>
    </row>
    <row r="268" spans="3:12" x14ac:dyDescent="0.25">
      <c r="C268" s="23"/>
      <c r="D268" s="23"/>
      <c r="E268" s="23"/>
      <c r="F268" s="23"/>
      <c r="G268" s="23"/>
      <c r="H268" s="23"/>
      <c r="I268" s="23"/>
      <c r="J268" s="23"/>
      <c r="K268" s="23"/>
      <c r="L268" s="23"/>
    </row>
    <row r="269" spans="3:12" x14ac:dyDescent="0.25">
      <c r="C269" s="23"/>
      <c r="D269" s="23"/>
      <c r="E269" s="23"/>
      <c r="F269" s="23"/>
      <c r="G269" s="23"/>
      <c r="H269" s="23"/>
      <c r="I269" s="23"/>
      <c r="J269" s="23"/>
      <c r="K269" s="23"/>
      <c r="L269" s="23"/>
    </row>
    <row r="270" spans="3:12" x14ac:dyDescent="0.25">
      <c r="C270" s="23"/>
      <c r="D270" s="23"/>
      <c r="E270" s="23"/>
      <c r="F270" s="23"/>
      <c r="G270" s="23"/>
      <c r="H270" s="23"/>
      <c r="I270" s="23"/>
      <c r="J270" s="23"/>
      <c r="K270" s="23"/>
      <c r="L270" s="23"/>
    </row>
    <row r="271" spans="3:12" x14ac:dyDescent="0.25">
      <c r="C271" s="23"/>
      <c r="D271" s="23"/>
      <c r="E271" s="23"/>
      <c r="F271" s="23"/>
      <c r="G271" s="23"/>
      <c r="H271" s="23"/>
      <c r="I271" s="23"/>
      <c r="J271" s="23"/>
      <c r="K271" s="23"/>
      <c r="L271" s="23"/>
    </row>
    <row r="272" spans="3:12" x14ac:dyDescent="0.25">
      <c r="C272" s="23"/>
      <c r="D272" s="23"/>
      <c r="E272" s="23"/>
      <c r="F272" s="23"/>
      <c r="G272" s="23"/>
      <c r="H272" s="23"/>
      <c r="I272" s="23"/>
      <c r="J272" s="23"/>
      <c r="K272" s="23"/>
      <c r="L272" s="23"/>
    </row>
    <row r="273" spans="3:12" x14ac:dyDescent="0.25">
      <c r="C273" s="23"/>
      <c r="D273" s="23"/>
      <c r="E273" s="23"/>
      <c r="F273" s="23"/>
      <c r="G273" s="23"/>
      <c r="H273" s="23"/>
      <c r="I273" s="23"/>
      <c r="J273" s="23"/>
      <c r="K273" s="23"/>
      <c r="L273" s="23"/>
    </row>
    <row r="274" spans="3:12" x14ac:dyDescent="0.25">
      <c r="C274" s="23"/>
      <c r="D274" s="23"/>
      <c r="E274" s="23"/>
      <c r="F274" s="23"/>
      <c r="G274" s="23"/>
      <c r="H274" s="23"/>
      <c r="I274" s="23"/>
      <c r="J274" s="23"/>
      <c r="K274" s="23"/>
      <c r="L274" s="23"/>
    </row>
    <row r="275" spans="3:12" x14ac:dyDescent="0.25">
      <c r="C275" s="23"/>
      <c r="D275" s="23"/>
      <c r="E275" s="23"/>
      <c r="F275" s="23"/>
      <c r="G275" s="23"/>
      <c r="H275" s="23"/>
      <c r="I275" s="23"/>
      <c r="J275" s="23"/>
      <c r="K275" s="23"/>
      <c r="L275" s="23"/>
    </row>
    <row r="276" spans="3:12" x14ac:dyDescent="0.25">
      <c r="C276" s="23"/>
      <c r="D276" s="23"/>
      <c r="E276" s="23"/>
      <c r="F276" s="23"/>
      <c r="G276" s="23"/>
      <c r="H276" s="23"/>
      <c r="I276" s="23"/>
      <c r="J276" s="23"/>
      <c r="K276" s="23"/>
      <c r="L276" s="23"/>
    </row>
    <row r="277" spans="3:12" x14ac:dyDescent="0.25">
      <c r="C277" s="23"/>
      <c r="D277" s="23"/>
      <c r="E277" s="23"/>
      <c r="F277" s="23"/>
      <c r="G277" s="23"/>
      <c r="H277" s="23"/>
      <c r="I277" s="23"/>
      <c r="J277" s="23"/>
      <c r="K277" s="23"/>
      <c r="L277" s="23"/>
    </row>
    <row r="278" spans="3:12" x14ac:dyDescent="0.25">
      <c r="C278" s="23"/>
      <c r="D278" s="23"/>
      <c r="E278" s="23"/>
      <c r="F278" s="23"/>
      <c r="G278" s="23"/>
      <c r="H278" s="23"/>
      <c r="I278" s="23"/>
      <c r="J278" s="23"/>
      <c r="K278" s="23"/>
      <c r="L278" s="23"/>
    </row>
    <row r="279" spans="3:12" x14ac:dyDescent="0.25">
      <c r="C279" s="23"/>
      <c r="D279" s="23"/>
      <c r="E279" s="23"/>
      <c r="F279" s="23"/>
      <c r="G279" s="23"/>
      <c r="H279" s="23"/>
      <c r="I279" s="23"/>
      <c r="J279" s="23"/>
      <c r="K279" s="23"/>
      <c r="L279" s="23"/>
    </row>
    <row r="280" spans="3:12" x14ac:dyDescent="0.25">
      <c r="C280" s="23"/>
      <c r="D280" s="23"/>
      <c r="E280" s="23"/>
      <c r="F280" s="23"/>
      <c r="G280" s="23"/>
      <c r="H280" s="23"/>
      <c r="I280" s="23"/>
      <c r="J280" s="23"/>
      <c r="K280" s="23"/>
      <c r="L280" s="23"/>
    </row>
    <row r="281" spans="3:12" x14ac:dyDescent="0.25">
      <c r="C281" s="23"/>
      <c r="D281" s="23"/>
      <c r="E281" s="23"/>
      <c r="F281" s="23"/>
      <c r="G281" s="23"/>
      <c r="H281" s="23"/>
      <c r="I281" s="23"/>
      <c r="J281" s="23"/>
      <c r="K281" s="23"/>
      <c r="L281" s="23"/>
    </row>
    <row r="282" spans="3:12" x14ac:dyDescent="0.25">
      <c r="C282" s="23"/>
      <c r="D282" s="23"/>
      <c r="E282" s="23"/>
      <c r="F282" s="23"/>
      <c r="G282" s="23"/>
      <c r="H282" s="23"/>
      <c r="I282" s="23"/>
      <c r="J282" s="23"/>
      <c r="K282" s="23"/>
      <c r="L282" s="23"/>
    </row>
    <row r="283" spans="3:12" x14ac:dyDescent="0.25">
      <c r="C283" s="23"/>
      <c r="D283" s="23"/>
      <c r="E283" s="23"/>
      <c r="F283" s="23"/>
      <c r="G283" s="23"/>
      <c r="H283" s="23"/>
      <c r="I283" s="23"/>
      <c r="J283" s="23"/>
      <c r="K283" s="23"/>
      <c r="L283" s="23"/>
    </row>
    <row r="284" spans="3:12" x14ac:dyDescent="0.25">
      <c r="C284" s="23"/>
      <c r="D284" s="23"/>
      <c r="E284" s="23"/>
      <c r="F284" s="23"/>
      <c r="G284" s="23"/>
      <c r="H284" s="23"/>
      <c r="I284" s="23"/>
      <c r="J284" s="23"/>
      <c r="K284" s="23"/>
      <c r="L284" s="23"/>
    </row>
    <row r="285" spans="3:12" x14ac:dyDescent="0.25">
      <c r="C285" s="23"/>
      <c r="D285" s="23"/>
      <c r="E285" s="23"/>
      <c r="F285" s="23"/>
      <c r="G285" s="23"/>
      <c r="H285" s="23"/>
      <c r="I285" s="23"/>
      <c r="J285" s="23"/>
      <c r="K285" s="23"/>
      <c r="L285" s="23"/>
    </row>
    <row r="286" spans="3:12" x14ac:dyDescent="0.25">
      <c r="C286" s="23"/>
      <c r="D286" s="23"/>
      <c r="E286" s="23"/>
      <c r="F286" s="23"/>
      <c r="G286" s="23"/>
      <c r="H286" s="23"/>
      <c r="I286" s="23"/>
      <c r="J286" s="23"/>
      <c r="K286" s="23"/>
      <c r="L286" s="23"/>
    </row>
    <row r="287" spans="3:12" x14ac:dyDescent="0.25">
      <c r="C287" s="23"/>
      <c r="D287" s="23"/>
      <c r="E287" s="23"/>
      <c r="F287" s="23"/>
      <c r="G287" s="23"/>
      <c r="H287" s="23"/>
      <c r="I287" s="23"/>
      <c r="J287" s="23"/>
      <c r="K287" s="23"/>
      <c r="L287" s="23"/>
    </row>
    <row r="288" spans="3:12" x14ac:dyDescent="0.25">
      <c r="C288" s="23"/>
      <c r="D288" s="23"/>
      <c r="E288" s="23"/>
      <c r="F288" s="23"/>
      <c r="G288" s="23"/>
      <c r="H288" s="23"/>
      <c r="I288" s="23"/>
      <c r="J288" s="23"/>
      <c r="K288" s="23"/>
      <c r="L288" s="23"/>
    </row>
    <row r="289" spans="3:12" x14ac:dyDescent="0.25">
      <c r="C289" s="23"/>
      <c r="D289" s="23"/>
      <c r="E289" s="23"/>
      <c r="F289" s="23"/>
      <c r="G289" s="23"/>
      <c r="H289" s="23"/>
      <c r="I289" s="23"/>
      <c r="J289" s="23"/>
      <c r="K289" s="23"/>
      <c r="L289" s="23"/>
    </row>
    <row r="290" spans="3:12" x14ac:dyDescent="0.25">
      <c r="C290" s="23"/>
      <c r="D290" s="23"/>
      <c r="E290" s="23"/>
      <c r="F290" s="23"/>
      <c r="G290" s="23"/>
      <c r="H290" s="23"/>
      <c r="I290" s="23"/>
      <c r="J290" s="23"/>
      <c r="K290" s="23"/>
      <c r="L290" s="23"/>
    </row>
    <row r="291" spans="3:12" x14ac:dyDescent="0.25">
      <c r="C291" s="23"/>
      <c r="D291" s="23"/>
      <c r="E291" s="23"/>
      <c r="F291" s="23"/>
      <c r="G291" s="23"/>
      <c r="H291" s="23"/>
      <c r="I291" s="23"/>
      <c r="J291" s="23"/>
      <c r="K291" s="23"/>
      <c r="L291" s="23"/>
    </row>
    <row r="292" spans="3:12" x14ac:dyDescent="0.25">
      <c r="C292" s="23"/>
      <c r="D292" s="23"/>
      <c r="E292" s="23"/>
      <c r="F292" s="23"/>
      <c r="G292" s="23"/>
      <c r="H292" s="23"/>
      <c r="I292" s="23"/>
      <c r="J292" s="23"/>
      <c r="K292" s="23"/>
      <c r="L292" s="23"/>
    </row>
    <row r="293" spans="3:12" x14ac:dyDescent="0.25">
      <c r="C293" s="23"/>
      <c r="D293" s="23"/>
      <c r="E293" s="23"/>
      <c r="F293" s="23"/>
      <c r="G293" s="23"/>
      <c r="H293" s="23"/>
      <c r="I293" s="23"/>
      <c r="J293" s="23"/>
      <c r="K293" s="23"/>
      <c r="L293" s="23"/>
    </row>
    <row r="294" spans="3:12" x14ac:dyDescent="0.25">
      <c r="C294" s="23"/>
      <c r="D294" s="23"/>
      <c r="E294" s="23"/>
      <c r="F294" s="23"/>
      <c r="G294" s="23"/>
      <c r="H294" s="23"/>
      <c r="I294" s="23"/>
      <c r="J294" s="23"/>
      <c r="K294" s="23"/>
      <c r="L294" s="23"/>
    </row>
    <row r="295" spans="3:12" x14ac:dyDescent="0.25">
      <c r="C295" s="23"/>
      <c r="D295" s="23"/>
      <c r="E295" s="23"/>
      <c r="F295" s="23"/>
      <c r="G295" s="23"/>
      <c r="H295" s="23"/>
      <c r="I295" s="23"/>
      <c r="J295" s="23"/>
      <c r="K295" s="23"/>
      <c r="L295" s="23"/>
    </row>
    <row r="296" spans="3:12" x14ac:dyDescent="0.25">
      <c r="C296" s="23"/>
      <c r="D296" s="23"/>
      <c r="E296" s="23"/>
      <c r="F296" s="23"/>
      <c r="G296" s="23"/>
      <c r="H296" s="23"/>
      <c r="I296" s="23"/>
      <c r="J296" s="23"/>
      <c r="K296" s="23"/>
      <c r="L296" s="23"/>
    </row>
    <row r="297" spans="3:12" x14ac:dyDescent="0.25">
      <c r="C297" s="23"/>
      <c r="D297" s="23"/>
      <c r="E297" s="23"/>
      <c r="F297" s="23"/>
      <c r="G297" s="23"/>
      <c r="H297" s="23"/>
      <c r="I297" s="23"/>
      <c r="J297" s="23"/>
      <c r="K297" s="23"/>
      <c r="L297" s="23"/>
    </row>
    <row r="298" spans="3:12" x14ac:dyDescent="0.25">
      <c r="C298" s="23"/>
      <c r="D298" s="23"/>
      <c r="E298" s="23"/>
      <c r="F298" s="23"/>
      <c r="G298" s="23"/>
      <c r="H298" s="23"/>
      <c r="I298" s="23"/>
      <c r="J298" s="23"/>
      <c r="K298" s="23"/>
      <c r="L298" s="23"/>
    </row>
    <row r="299" spans="3:12" x14ac:dyDescent="0.25">
      <c r="C299" s="23"/>
      <c r="D299" s="23"/>
      <c r="E299" s="23"/>
      <c r="F299" s="23"/>
      <c r="G299" s="23"/>
      <c r="H299" s="23"/>
      <c r="I299" s="23"/>
      <c r="J299" s="23"/>
      <c r="K299" s="23"/>
      <c r="L299" s="23"/>
    </row>
    <row r="300" spans="3:12" x14ac:dyDescent="0.25">
      <c r="C300" s="23"/>
      <c r="D300" s="23"/>
      <c r="E300" s="23"/>
      <c r="F300" s="23"/>
      <c r="G300" s="23"/>
      <c r="H300" s="23"/>
      <c r="I300" s="23"/>
      <c r="J300" s="23"/>
      <c r="K300" s="23"/>
      <c r="L300" s="23"/>
    </row>
    <row r="301" spans="3:12" x14ac:dyDescent="0.25">
      <c r="C301" s="23"/>
      <c r="D301" s="23"/>
      <c r="E301" s="23"/>
      <c r="F301" s="23"/>
      <c r="G301" s="23"/>
      <c r="H301" s="23"/>
      <c r="I301" s="23"/>
      <c r="J301" s="23"/>
      <c r="K301" s="23"/>
      <c r="L301" s="23"/>
    </row>
    <row r="302" spans="3:12" x14ac:dyDescent="0.25">
      <c r="C302" s="23"/>
      <c r="D302" s="23"/>
      <c r="E302" s="23"/>
      <c r="F302" s="23"/>
      <c r="G302" s="23"/>
      <c r="H302" s="23"/>
      <c r="I302" s="23"/>
      <c r="J302" s="23"/>
      <c r="K302" s="23"/>
      <c r="L302" s="23"/>
    </row>
    <row r="303" spans="3:12" x14ac:dyDescent="0.25">
      <c r="C303" s="23"/>
      <c r="D303" s="23"/>
      <c r="E303" s="23"/>
      <c r="F303" s="23"/>
      <c r="G303" s="23"/>
      <c r="H303" s="23"/>
      <c r="I303" s="23"/>
      <c r="J303" s="23"/>
      <c r="K303" s="23"/>
      <c r="L303" s="23"/>
    </row>
    <row r="304" spans="3:12" x14ac:dyDescent="0.25">
      <c r="C304" s="23"/>
      <c r="D304" s="23"/>
      <c r="E304" s="23"/>
      <c r="F304" s="23"/>
      <c r="G304" s="23"/>
      <c r="H304" s="23"/>
      <c r="I304" s="23"/>
      <c r="J304" s="23"/>
      <c r="K304" s="23"/>
      <c r="L304" s="23"/>
    </row>
    <row r="305" spans="3:12" x14ac:dyDescent="0.25">
      <c r="C305" s="23"/>
      <c r="D305" s="23"/>
      <c r="E305" s="23"/>
      <c r="F305" s="23"/>
      <c r="G305" s="23"/>
      <c r="H305" s="23"/>
      <c r="I305" s="23"/>
      <c r="J305" s="23"/>
      <c r="K305" s="23"/>
      <c r="L305" s="23"/>
    </row>
    <row r="306" spans="3:12" x14ac:dyDescent="0.25">
      <c r="C306" s="23"/>
      <c r="D306" s="23"/>
      <c r="E306" s="23"/>
      <c r="F306" s="23"/>
      <c r="G306" s="23"/>
      <c r="H306" s="23"/>
      <c r="I306" s="23"/>
      <c r="J306" s="23"/>
      <c r="K306" s="23"/>
      <c r="L306" s="23"/>
    </row>
    <row r="307" spans="3:12" x14ac:dyDescent="0.25">
      <c r="C307" s="23"/>
      <c r="D307" s="23"/>
      <c r="E307" s="23"/>
      <c r="F307" s="23"/>
      <c r="G307" s="23"/>
      <c r="H307" s="23"/>
      <c r="I307" s="23"/>
      <c r="J307" s="23"/>
      <c r="K307" s="23"/>
      <c r="L307" s="23"/>
    </row>
    <row r="308" spans="3:12" x14ac:dyDescent="0.25">
      <c r="C308" s="23"/>
      <c r="D308" s="23"/>
      <c r="E308" s="23"/>
      <c r="F308" s="23"/>
      <c r="G308" s="23"/>
      <c r="H308" s="23"/>
      <c r="I308" s="23"/>
      <c r="J308" s="23"/>
      <c r="K308" s="23"/>
      <c r="L308" s="23"/>
    </row>
    <row r="309" spans="3:12" x14ac:dyDescent="0.25">
      <c r="C309" s="23"/>
      <c r="D309" s="23"/>
      <c r="E309" s="23"/>
      <c r="F309" s="23"/>
      <c r="G309" s="23"/>
      <c r="H309" s="23"/>
      <c r="I309" s="23"/>
      <c r="J309" s="23"/>
      <c r="K309" s="23"/>
      <c r="L309" s="23"/>
    </row>
    <row r="310" spans="3:12" x14ac:dyDescent="0.25">
      <c r="C310" s="23"/>
      <c r="D310" s="23"/>
      <c r="E310" s="23"/>
      <c r="F310" s="23"/>
      <c r="G310" s="23"/>
      <c r="H310" s="23"/>
      <c r="I310" s="23"/>
      <c r="J310" s="23"/>
      <c r="K310" s="23"/>
      <c r="L310" s="23"/>
    </row>
    <row r="311" spans="3:12" x14ac:dyDescent="0.25">
      <c r="C311" s="23"/>
      <c r="D311" s="23"/>
      <c r="E311" s="23"/>
      <c r="F311" s="23"/>
      <c r="G311" s="23"/>
      <c r="H311" s="23"/>
      <c r="I311" s="23"/>
      <c r="J311" s="23"/>
      <c r="K311" s="23"/>
      <c r="L311" s="23"/>
    </row>
    <row r="312" spans="3:12" x14ac:dyDescent="0.25">
      <c r="C312" s="23"/>
      <c r="D312" s="23"/>
      <c r="E312" s="23"/>
      <c r="F312" s="23"/>
      <c r="G312" s="23"/>
      <c r="H312" s="23"/>
      <c r="I312" s="23"/>
      <c r="J312" s="23"/>
      <c r="K312" s="23"/>
      <c r="L312" s="23"/>
    </row>
    <row r="313" spans="3:12" x14ac:dyDescent="0.25">
      <c r="C313" s="23"/>
      <c r="D313" s="23"/>
      <c r="E313" s="23"/>
      <c r="F313" s="23"/>
      <c r="G313" s="23"/>
      <c r="H313" s="23"/>
      <c r="I313" s="23"/>
      <c r="J313" s="23"/>
      <c r="K313" s="23"/>
      <c r="L313" s="23"/>
    </row>
    <row r="314" spans="3:12" x14ac:dyDescent="0.25">
      <c r="C314" s="23"/>
      <c r="D314" s="23"/>
      <c r="E314" s="23"/>
      <c r="F314" s="23"/>
      <c r="G314" s="23"/>
      <c r="H314" s="23"/>
      <c r="I314" s="23"/>
      <c r="J314" s="23"/>
      <c r="K314" s="23"/>
      <c r="L314" s="23"/>
    </row>
    <row r="315" spans="3:12" x14ac:dyDescent="0.25">
      <c r="C315" s="23"/>
      <c r="D315" s="23"/>
      <c r="E315" s="23"/>
      <c r="F315" s="23"/>
      <c r="G315" s="23"/>
      <c r="H315" s="23"/>
      <c r="I315" s="23"/>
      <c r="J315" s="23"/>
      <c r="K315" s="23"/>
      <c r="L315" s="23"/>
    </row>
    <row r="316" spans="3:12" x14ac:dyDescent="0.25">
      <c r="C316" s="23"/>
      <c r="D316" s="23"/>
      <c r="E316" s="23"/>
      <c r="F316" s="23"/>
      <c r="G316" s="23"/>
      <c r="H316" s="23"/>
      <c r="I316" s="23"/>
      <c r="J316" s="23"/>
      <c r="K316" s="23"/>
      <c r="L316" s="23"/>
    </row>
    <row r="317" spans="3:12" x14ac:dyDescent="0.25">
      <c r="C317" s="23"/>
      <c r="D317" s="23"/>
      <c r="E317" s="23"/>
      <c r="F317" s="23"/>
      <c r="G317" s="23"/>
      <c r="H317" s="23"/>
      <c r="I317" s="23"/>
      <c r="J317" s="23"/>
      <c r="K317" s="23"/>
      <c r="L317" s="23"/>
    </row>
    <row r="318" spans="3:12" x14ac:dyDescent="0.25">
      <c r="C318" s="23"/>
      <c r="D318" s="23"/>
      <c r="E318" s="23"/>
      <c r="F318" s="23"/>
      <c r="G318" s="23"/>
      <c r="H318" s="23"/>
      <c r="I318" s="23"/>
      <c r="J318" s="23"/>
      <c r="K318" s="23"/>
      <c r="L318" s="23"/>
    </row>
    <row r="319" spans="3:12" x14ac:dyDescent="0.25">
      <c r="C319" s="23"/>
      <c r="D319" s="23"/>
      <c r="E319" s="23"/>
      <c r="F319" s="23"/>
      <c r="G319" s="23"/>
      <c r="H319" s="23"/>
      <c r="I319" s="23"/>
      <c r="J319" s="23"/>
      <c r="K319" s="23"/>
      <c r="L319" s="23"/>
    </row>
    <row r="320" spans="3:12" x14ac:dyDescent="0.25">
      <c r="C320" s="23"/>
      <c r="D320" s="23"/>
      <c r="E320" s="23"/>
      <c r="F320" s="23"/>
      <c r="G320" s="23"/>
      <c r="H320" s="23"/>
      <c r="I320" s="23"/>
      <c r="J320" s="23"/>
      <c r="K320" s="23"/>
      <c r="L320" s="23"/>
    </row>
    <row r="321" spans="3:12" x14ac:dyDescent="0.25">
      <c r="C321" s="23"/>
      <c r="D321" s="23"/>
      <c r="E321" s="23"/>
      <c r="F321" s="23"/>
      <c r="G321" s="23"/>
      <c r="H321" s="23"/>
      <c r="I321" s="23"/>
      <c r="J321" s="23"/>
      <c r="K321" s="23"/>
      <c r="L321" s="23"/>
    </row>
    <row r="322" spans="3:12" x14ac:dyDescent="0.25">
      <c r="C322" s="23"/>
      <c r="D322" s="23"/>
      <c r="E322" s="23"/>
      <c r="F322" s="23"/>
      <c r="G322" s="23"/>
      <c r="H322" s="23"/>
      <c r="I322" s="23"/>
      <c r="J322" s="23"/>
      <c r="K322" s="23"/>
      <c r="L322" s="23"/>
    </row>
    <row r="323" spans="3:12" x14ac:dyDescent="0.25">
      <c r="C323" s="23"/>
      <c r="D323" s="23"/>
      <c r="E323" s="23"/>
      <c r="F323" s="23"/>
      <c r="G323" s="23"/>
      <c r="H323" s="23"/>
      <c r="I323" s="23"/>
      <c r="J323" s="23"/>
      <c r="K323" s="23"/>
      <c r="L323" s="23"/>
    </row>
    <row r="324" spans="3:12" x14ac:dyDescent="0.25">
      <c r="C324" s="23"/>
      <c r="D324" s="23"/>
      <c r="E324" s="23"/>
      <c r="F324" s="23"/>
      <c r="G324" s="23"/>
      <c r="H324" s="23"/>
      <c r="I324" s="23"/>
      <c r="J324" s="23"/>
      <c r="K324" s="23"/>
      <c r="L324" s="23"/>
    </row>
    <row r="325" spans="3:12" x14ac:dyDescent="0.25">
      <c r="C325" s="23"/>
      <c r="D325" s="23"/>
      <c r="E325" s="23"/>
      <c r="F325" s="23"/>
      <c r="G325" s="23"/>
      <c r="H325" s="23"/>
      <c r="I325" s="23"/>
      <c r="J325" s="23"/>
      <c r="K325" s="23"/>
      <c r="L325" s="23"/>
    </row>
    <row r="326" spans="3:12" x14ac:dyDescent="0.25">
      <c r="C326" s="23"/>
      <c r="D326" s="23"/>
      <c r="E326" s="23"/>
      <c r="F326" s="23"/>
      <c r="G326" s="23"/>
      <c r="H326" s="23"/>
      <c r="I326" s="23"/>
      <c r="J326" s="23"/>
      <c r="K326" s="23"/>
      <c r="L326" s="23"/>
    </row>
    <row r="327" spans="3:12" x14ac:dyDescent="0.25">
      <c r="C327" s="23"/>
      <c r="D327" s="23"/>
      <c r="E327" s="23"/>
      <c r="F327" s="23"/>
      <c r="G327" s="23"/>
      <c r="H327" s="23"/>
      <c r="I327" s="23"/>
      <c r="J327" s="23"/>
      <c r="K327" s="23"/>
      <c r="L327" s="23"/>
    </row>
    <row r="328" spans="3:12" x14ac:dyDescent="0.25">
      <c r="C328" s="23"/>
      <c r="D328" s="23"/>
      <c r="E328" s="23"/>
      <c r="F328" s="23"/>
      <c r="G328" s="23"/>
      <c r="H328" s="23"/>
      <c r="I328" s="23"/>
      <c r="J328" s="23"/>
      <c r="K328" s="23"/>
      <c r="L328" s="23"/>
    </row>
    <row r="329" spans="3:12" x14ac:dyDescent="0.25">
      <c r="C329" s="23"/>
      <c r="D329" s="23"/>
      <c r="E329" s="23"/>
      <c r="F329" s="23"/>
      <c r="G329" s="23"/>
      <c r="H329" s="23"/>
      <c r="I329" s="23"/>
      <c r="J329" s="23"/>
      <c r="K329" s="23"/>
      <c r="L329" s="23"/>
    </row>
    <row r="330" spans="3:12" x14ac:dyDescent="0.25">
      <c r="C330" s="23"/>
      <c r="D330" s="23"/>
      <c r="E330" s="23"/>
      <c r="F330" s="23"/>
      <c r="G330" s="23"/>
      <c r="H330" s="23"/>
      <c r="I330" s="23"/>
      <c r="J330" s="23"/>
      <c r="K330" s="23"/>
      <c r="L330" s="23"/>
    </row>
    <row r="331" spans="3:12" x14ac:dyDescent="0.25">
      <c r="C331" s="23"/>
      <c r="D331" s="23"/>
      <c r="E331" s="23"/>
      <c r="F331" s="23"/>
      <c r="G331" s="23"/>
      <c r="H331" s="23"/>
      <c r="I331" s="23"/>
      <c r="J331" s="23"/>
      <c r="K331" s="23"/>
      <c r="L331" s="23"/>
    </row>
    <row r="332" spans="3:12" x14ac:dyDescent="0.25">
      <c r="C332" s="23"/>
      <c r="D332" s="23"/>
      <c r="E332" s="23"/>
      <c r="F332" s="23"/>
      <c r="G332" s="23"/>
      <c r="H332" s="23"/>
      <c r="I332" s="23"/>
      <c r="J332" s="23"/>
      <c r="K332" s="23"/>
      <c r="L332" s="23"/>
    </row>
    <row r="333" spans="3:12" x14ac:dyDescent="0.25">
      <c r="C333" s="23"/>
      <c r="D333" s="23"/>
      <c r="E333" s="23"/>
      <c r="F333" s="23"/>
      <c r="G333" s="23"/>
      <c r="H333" s="23"/>
      <c r="I333" s="23"/>
      <c r="J333" s="23"/>
      <c r="K333" s="23"/>
      <c r="L333" s="23"/>
    </row>
    <row r="334" spans="3:12" x14ac:dyDescent="0.25">
      <c r="C334" s="23"/>
      <c r="D334" s="23"/>
      <c r="E334" s="23"/>
      <c r="F334" s="23"/>
      <c r="G334" s="23"/>
      <c r="H334" s="23"/>
      <c r="I334" s="23"/>
      <c r="J334" s="23"/>
      <c r="K334" s="23"/>
      <c r="L334" s="23"/>
    </row>
    <row r="335" spans="3:12" x14ac:dyDescent="0.25">
      <c r="C335" s="23"/>
      <c r="D335" s="23"/>
      <c r="E335" s="23"/>
      <c r="F335" s="23"/>
      <c r="G335" s="23"/>
      <c r="H335" s="23"/>
      <c r="I335" s="23"/>
      <c r="J335" s="23"/>
      <c r="K335" s="23"/>
      <c r="L335" s="23"/>
    </row>
    <row r="336" spans="3:12" x14ac:dyDescent="0.25">
      <c r="C336" s="23"/>
      <c r="D336" s="23"/>
      <c r="E336" s="23"/>
      <c r="F336" s="23"/>
      <c r="G336" s="23"/>
      <c r="H336" s="23"/>
      <c r="I336" s="23"/>
      <c r="J336" s="23"/>
      <c r="K336" s="23"/>
      <c r="L336" s="23"/>
    </row>
    <row r="337" spans="3:12" x14ac:dyDescent="0.25">
      <c r="C337" s="23"/>
      <c r="D337" s="23"/>
      <c r="E337" s="23"/>
      <c r="F337" s="23"/>
      <c r="G337" s="23"/>
      <c r="H337" s="23"/>
      <c r="I337" s="23"/>
      <c r="J337" s="23"/>
      <c r="K337" s="23"/>
      <c r="L337" s="23"/>
    </row>
    <row r="338" spans="3:12" x14ac:dyDescent="0.25">
      <c r="C338" s="23"/>
      <c r="D338" s="23"/>
      <c r="E338" s="23"/>
      <c r="F338" s="23"/>
      <c r="G338" s="23"/>
      <c r="H338" s="23"/>
      <c r="I338" s="23"/>
      <c r="J338" s="23"/>
      <c r="K338" s="23"/>
      <c r="L338" s="23"/>
    </row>
    <row r="339" spans="3:12" x14ac:dyDescent="0.25">
      <c r="C339" s="23"/>
      <c r="D339" s="23"/>
      <c r="E339" s="23"/>
      <c r="F339" s="23"/>
      <c r="G339" s="23"/>
      <c r="H339" s="23"/>
      <c r="I339" s="23"/>
      <c r="J339" s="23"/>
      <c r="K339" s="23"/>
      <c r="L339" s="23"/>
    </row>
    <row r="340" spans="3:12" x14ac:dyDescent="0.25">
      <c r="C340" s="23"/>
      <c r="D340" s="23"/>
      <c r="E340" s="23"/>
      <c r="F340" s="23"/>
      <c r="G340" s="23"/>
      <c r="H340" s="23"/>
      <c r="I340" s="23"/>
      <c r="J340" s="23"/>
      <c r="K340" s="23"/>
      <c r="L340" s="23"/>
    </row>
    <row r="341" spans="3:12" x14ac:dyDescent="0.25">
      <c r="C341" s="23"/>
      <c r="D341" s="23"/>
      <c r="E341" s="23"/>
      <c r="F341" s="23"/>
      <c r="G341" s="23"/>
      <c r="H341" s="23"/>
      <c r="I341" s="23"/>
      <c r="J341" s="23"/>
      <c r="K341" s="23"/>
      <c r="L341" s="23"/>
    </row>
    <row r="342" spans="3:12" x14ac:dyDescent="0.25">
      <c r="C342" s="23"/>
      <c r="D342" s="23"/>
      <c r="E342" s="23"/>
      <c r="F342" s="23"/>
      <c r="G342" s="23"/>
      <c r="H342" s="23"/>
      <c r="I342" s="23"/>
      <c r="J342" s="23"/>
      <c r="K342" s="23"/>
      <c r="L342" s="23"/>
    </row>
    <row r="343" spans="3:12" x14ac:dyDescent="0.25">
      <c r="C343" s="23"/>
      <c r="D343" s="23"/>
      <c r="E343" s="23"/>
      <c r="F343" s="23"/>
      <c r="G343" s="23"/>
      <c r="H343" s="23"/>
      <c r="I343" s="23"/>
      <c r="J343" s="23"/>
      <c r="K343" s="23"/>
      <c r="L343" s="23"/>
    </row>
    <row r="344" spans="3:12" x14ac:dyDescent="0.25">
      <c r="C344" s="23"/>
      <c r="D344" s="23"/>
      <c r="E344" s="23"/>
      <c r="F344" s="23"/>
      <c r="G344" s="23"/>
      <c r="H344" s="23"/>
      <c r="I344" s="23"/>
      <c r="J344" s="23"/>
      <c r="K344" s="23"/>
      <c r="L344" s="23"/>
    </row>
    <row r="345" spans="3:12" x14ac:dyDescent="0.25">
      <c r="C345" s="23"/>
      <c r="D345" s="23"/>
      <c r="E345" s="23"/>
      <c r="F345" s="23"/>
      <c r="G345" s="23"/>
      <c r="H345" s="23"/>
      <c r="I345" s="23"/>
      <c r="J345" s="23"/>
      <c r="K345" s="23"/>
      <c r="L345" s="23"/>
    </row>
    <row r="346" spans="3:12" x14ac:dyDescent="0.25">
      <c r="C346" s="23"/>
      <c r="D346" s="23"/>
      <c r="E346" s="23"/>
      <c r="F346" s="23"/>
      <c r="G346" s="23"/>
      <c r="H346" s="23"/>
      <c r="I346" s="23"/>
      <c r="J346" s="23"/>
      <c r="K346" s="23"/>
      <c r="L346" s="23"/>
    </row>
    <row r="347" spans="3:12" x14ac:dyDescent="0.25">
      <c r="C347" s="23"/>
      <c r="D347" s="23"/>
      <c r="E347" s="23"/>
      <c r="F347" s="23"/>
      <c r="G347" s="23"/>
      <c r="H347" s="23"/>
      <c r="I347" s="23"/>
      <c r="J347" s="23"/>
      <c r="K347" s="23"/>
      <c r="L347" s="23"/>
    </row>
    <row r="348" spans="3:12" x14ac:dyDescent="0.25">
      <c r="C348" s="23"/>
      <c r="D348" s="23"/>
      <c r="E348" s="23"/>
      <c r="F348" s="23"/>
      <c r="G348" s="23"/>
      <c r="H348" s="23"/>
      <c r="I348" s="23"/>
      <c r="J348" s="23"/>
      <c r="K348" s="23"/>
      <c r="L348" s="23"/>
    </row>
    <row r="349" spans="3:12" x14ac:dyDescent="0.25">
      <c r="C349" s="23"/>
      <c r="D349" s="23"/>
      <c r="E349" s="23"/>
      <c r="F349" s="23"/>
      <c r="G349" s="23"/>
      <c r="H349" s="23"/>
      <c r="I349" s="23"/>
      <c r="J349" s="23"/>
      <c r="K349" s="23"/>
      <c r="L349" s="23"/>
    </row>
    <row r="350" spans="3:12" x14ac:dyDescent="0.25">
      <c r="C350" s="23"/>
      <c r="D350" s="23"/>
      <c r="E350" s="23"/>
      <c r="F350" s="23"/>
      <c r="G350" s="23"/>
      <c r="H350" s="23"/>
      <c r="I350" s="23"/>
      <c r="J350" s="23"/>
      <c r="K350" s="23"/>
      <c r="L350" s="23"/>
    </row>
    <row r="351" spans="3:12" x14ac:dyDescent="0.25">
      <c r="C351" s="23"/>
      <c r="D351" s="23"/>
      <c r="E351" s="23"/>
      <c r="F351" s="23"/>
      <c r="G351" s="23"/>
      <c r="H351" s="23"/>
      <c r="I351" s="23"/>
      <c r="J351" s="23"/>
      <c r="K351" s="23"/>
      <c r="L351" s="23"/>
    </row>
    <row r="352" spans="3:12" x14ac:dyDescent="0.25">
      <c r="C352" s="23"/>
      <c r="D352" s="23"/>
      <c r="E352" s="23"/>
      <c r="F352" s="23"/>
      <c r="G352" s="23"/>
      <c r="H352" s="23"/>
      <c r="I352" s="23"/>
      <c r="J352" s="23"/>
      <c r="K352" s="23"/>
      <c r="L352" s="23"/>
    </row>
    <row r="353" spans="3:12" x14ac:dyDescent="0.25">
      <c r="C353" s="23"/>
      <c r="D353" s="23"/>
      <c r="E353" s="23"/>
      <c r="F353" s="23"/>
      <c r="G353" s="23"/>
      <c r="H353" s="23"/>
      <c r="I353" s="23"/>
      <c r="J353" s="23"/>
      <c r="K353" s="23"/>
      <c r="L353" s="23"/>
    </row>
    <row r="354" spans="3:12" x14ac:dyDescent="0.25">
      <c r="C354" s="23"/>
      <c r="D354" s="23"/>
      <c r="E354" s="23"/>
      <c r="F354" s="23"/>
      <c r="G354" s="23"/>
      <c r="H354" s="23"/>
      <c r="I354" s="23"/>
      <c r="J354" s="23"/>
      <c r="K354" s="23"/>
      <c r="L354" s="23"/>
    </row>
    <row r="355" spans="3:12" x14ac:dyDescent="0.25">
      <c r="C355" s="23"/>
      <c r="D355" s="23"/>
      <c r="E355" s="23"/>
      <c r="F355" s="23"/>
      <c r="G355" s="23"/>
      <c r="H355" s="23"/>
      <c r="I355" s="23"/>
      <c r="J355" s="23"/>
      <c r="K355" s="23"/>
      <c r="L355" s="23"/>
    </row>
    <row r="356" spans="3:12" x14ac:dyDescent="0.25">
      <c r="C356" s="23"/>
      <c r="D356" s="23"/>
      <c r="E356" s="23"/>
      <c r="F356" s="23"/>
      <c r="G356" s="23"/>
      <c r="H356" s="23"/>
      <c r="I356" s="23"/>
      <c r="J356" s="23"/>
      <c r="K356" s="23"/>
      <c r="L356" s="23"/>
    </row>
    <row r="357" spans="3:12" x14ac:dyDescent="0.25">
      <c r="C357" s="23"/>
      <c r="D357" s="23"/>
      <c r="E357" s="23"/>
      <c r="F357" s="23"/>
      <c r="G357" s="23"/>
      <c r="H357" s="23"/>
      <c r="I357" s="23"/>
      <c r="J357" s="23"/>
      <c r="K357" s="23"/>
      <c r="L357" s="23"/>
    </row>
    <row r="358" spans="3:12" x14ac:dyDescent="0.25">
      <c r="C358" s="23"/>
      <c r="D358" s="23"/>
      <c r="E358" s="23"/>
      <c r="F358" s="23"/>
      <c r="G358" s="23"/>
      <c r="H358" s="23"/>
      <c r="I358" s="23"/>
      <c r="J358" s="23"/>
      <c r="K358" s="23"/>
      <c r="L358" s="23"/>
    </row>
    <row r="359" spans="3:12" x14ac:dyDescent="0.25">
      <c r="C359" s="23"/>
      <c r="D359" s="23"/>
      <c r="E359" s="23"/>
      <c r="F359" s="23"/>
      <c r="G359" s="23"/>
      <c r="H359" s="23"/>
      <c r="I359" s="23"/>
      <c r="J359" s="23"/>
      <c r="K359" s="23"/>
      <c r="L359" s="23"/>
    </row>
    <row r="360" spans="3:12" x14ac:dyDescent="0.25">
      <c r="C360" s="23"/>
      <c r="D360" s="23"/>
      <c r="E360" s="23"/>
      <c r="F360" s="23"/>
      <c r="G360" s="23"/>
      <c r="H360" s="23"/>
      <c r="I360" s="23"/>
      <c r="J360" s="23"/>
      <c r="K360" s="23"/>
      <c r="L360" s="23"/>
    </row>
    <row r="361" spans="3:12" x14ac:dyDescent="0.25">
      <c r="C361" s="23"/>
      <c r="D361" s="23"/>
      <c r="E361" s="23"/>
      <c r="F361" s="23"/>
      <c r="G361" s="23"/>
      <c r="H361" s="23"/>
      <c r="I361" s="23"/>
      <c r="J361" s="23"/>
      <c r="K361" s="23"/>
      <c r="L361" s="23"/>
    </row>
    <row r="362" spans="3:12" x14ac:dyDescent="0.25">
      <c r="C362" s="23"/>
      <c r="D362" s="23"/>
      <c r="E362" s="23"/>
      <c r="F362" s="23"/>
      <c r="G362" s="23"/>
      <c r="H362" s="23"/>
      <c r="I362" s="23"/>
      <c r="J362" s="23"/>
      <c r="K362" s="23"/>
      <c r="L362" s="23"/>
    </row>
    <row r="363" spans="3:12" x14ac:dyDescent="0.25">
      <c r="C363" s="23"/>
      <c r="D363" s="23"/>
      <c r="E363" s="23"/>
      <c r="F363" s="23"/>
      <c r="G363" s="23"/>
      <c r="H363" s="23"/>
      <c r="I363" s="23"/>
      <c r="J363" s="23"/>
      <c r="K363" s="23"/>
      <c r="L363" s="23"/>
    </row>
    <row r="364" spans="3:12" x14ac:dyDescent="0.25">
      <c r="C364" s="23"/>
      <c r="D364" s="23"/>
      <c r="E364" s="23"/>
      <c r="F364" s="23"/>
      <c r="G364" s="23"/>
      <c r="H364" s="23"/>
      <c r="I364" s="23"/>
      <c r="J364" s="23"/>
      <c r="K364" s="23"/>
      <c r="L364" s="23"/>
    </row>
    <row r="365" spans="3:12" x14ac:dyDescent="0.25">
      <c r="C365" s="23"/>
      <c r="D365" s="23"/>
      <c r="E365" s="23"/>
      <c r="F365" s="23"/>
      <c r="G365" s="23"/>
      <c r="H365" s="23"/>
      <c r="I365" s="23"/>
      <c r="J365" s="23"/>
      <c r="K365" s="23"/>
      <c r="L365" s="23"/>
    </row>
    <row r="366" spans="3:12" x14ac:dyDescent="0.25">
      <c r="C366" s="23"/>
      <c r="D366" s="23"/>
      <c r="E366" s="23"/>
      <c r="F366" s="23"/>
      <c r="G366" s="23"/>
      <c r="H366" s="23"/>
      <c r="I366" s="23"/>
      <c r="J366" s="23"/>
      <c r="K366" s="23"/>
      <c r="L366" s="23"/>
    </row>
    <row r="367" spans="3:12" x14ac:dyDescent="0.25">
      <c r="C367" s="23"/>
      <c r="D367" s="23"/>
      <c r="E367" s="23"/>
      <c r="F367" s="23"/>
      <c r="G367" s="23"/>
      <c r="H367" s="23"/>
      <c r="I367" s="23"/>
      <c r="J367" s="23"/>
      <c r="K367" s="23"/>
      <c r="L367" s="23"/>
    </row>
    <row r="368" spans="3:12" x14ac:dyDescent="0.25">
      <c r="C368" s="23"/>
      <c r="D368" s="23"/>
      <c r="E368" s="23"/>
      <c r="F368" s="23"/>
      <c r="G368" s="23"/>
      <c r="H368" s="23"/>
      <c r="I368" s="23"/>
      <c r="J368" s="23"/>
      <c r="K368" s="23"/>
      <c r="L368" s="23"/>
    </row>
    <row r="369" spans="3:12" x14ac:dyDescent="0.25">
      <c r="C369" s="23"/>
      <c r="D369" s="23"/>
      <c r="E369" s="23"/>
      <c r="F369" s="23"/>
      <c r="G369" s="23"/>
      <c r="H369" s="23"/>
      <c r="I369" s="23"/>
      <c r="J369" s="23"/>
      <c r="K369" s="23"/>
      <c r="L369" s="23"/>
    </row>
    <row r="370" spans="3:12" x14ac:dyDescent="0.25">
      <c r="C370" s="23"/>
      <c r="D370" s="23"/>
      <c r="E370" s="23"/>
      <c r="F370" s="23"/>
      <c r="G370" s="23"/>
      <c r="H370" s="23"/>
      <c r="I370" s="23"/>
      <c r="J370" s="23"/>
      <c r="K370" s="23"/>
      <c r="L370" s="23"/>
    </row>
    <row r="371" spans="3:12" x14ac:dyDescent="0.25">
      <c r="C371" s="23"/>
      <c r="D371" s="23"/>
      <c r="E371" s="23"/>
      <c r="F371" s="23"/>
      <c r="G371" s="23"/>
      <c r="H371" s="23"/>
      <c r="I371" s="23"/>
      <c r="J371" s="23"/>
      <c r="K371" s="23"/>
      <c r="L371" s="23"/>
    </row>
    <row r="372" spans="3:12" x14ac:dyDescent="0.25">
      <c r="C372" s="23"/>
      <c r="D372" s="23"/>
      <c r="E372" s="23"/>
      <c r="F372" s="23"/>
      <c r="G372" s="23"/>
      <c r="H372" s="23"/>
      <c r="I372" s="23"/>
      <c r="J372" s="23"/>
      <c r="K372" s="23"/>
      <c r="L372" s="23"/>
    </row>
    <row r="373" spans="3:12" x14ac:dyDescent="0.25">
      <c r="C373" s="23"/>
      <c r="D373" s="23"/>
      <c r="E373" s="23"/>
      <c r="F373" s="23"/>
      <c r="G373" s="23"/>
      <c r="H373" s="23"/>
      <c r="I373" s="23"/>
      <c r="J373" s="23"/>
      <c r="K373" s="23"/>
      <c r="L373" s="23"/>
    </row>
    <row r="374" spans="3:12" x14ac:dyDescent="0.25">
      <c r="C374" s="23"/>
      <c r="D374" s="23"/>
      <c r="E374" s="23"/>
      <c r="F374" s="23"/>
      <c r="G374" s="23"/>
      <c r="H374" s="23"/>
      <c r="I374" s="23"/>
      <c r="J374" s="23"/>
      <c r="K374" s="23"/>
      <c r="L374" s="23"/>
    </row>
    <row r="375" spans="3:12" x14ac:dyDescent="0.25">
      <c r="C375" s="23"/>
      <c r="D375" s="23"/>
      <c r="E375" s="23"/>
      <c r="F375" s="23"/>
      <c r="G375" s="23"/>
      <c r="H375" s="23"/>
      <c r="I375" s="23"/>
      <c r="J375" s="23"/>
      <c r="K375" s="23"/>
      <c r="L375" s="23"/>
    </row>
    <row r="376" spans="3:12" x14ac:dyDescent="0.25">
      <c r="C376" s="23"/>
      <c r="D376" s="23"/>
      <c r="E376" s="23"/>
      <c r="F376" s="23"/>
      <c r="G376" s="23"/>
      <c r="H376" s="23"/>
      <c r="I376" s="23"/>
      <c r="J376" s="23"/>
      <c r="K376" s="23"/>
      <c r="L376" s="23"/>
    </row>
    <row r="377" spans="3:12" x14ac:dyDescent="0.25">
      <c r="C377" s="23"/>
      <c r="D377" s="23"/>
      <c r="E377" s="23"/>
      <c r="F377" s="23"/>
      <c r="G377" s="23"/>
      <c r="H377" s="23"/>
      <c r="I377" s="23"/>
      <c r="J377" s="23"/>
      <c r="K377" s="23"/>
      <c r="L377" s="23"/>
    </row>
    <row r="378" spans="3:12" x14ac:dyDescent="0.25">
      <c r="C378" s="23"/>
      <c r="D378" s="23"/>
      <c r="E378" s="23"/>
      <c r="F378" s="23"/>
      <c r="G378" s="23"/>
      <c r="H378" s="23"/>
      <c r="I378" s="23"/>
      <c r="J378" s="23"/>
      <c r="K378" s="23"/>
      <c r="L378" s="23"/>
    </row>
    <row r="379" spans="3:12" x14ac:dyDescent="0.25">
      <c r="C379" s="23"/>
      <c r="D379" s="23"/>
      <c r="E379" s="23"/>
      <c r="F379" s="23"/>
      <c r="G379" s="23"/>
      <c r="H379" s="23"/>
      <c r="I379" s="23"/>
      <c r="J379" s="23"/>
      <c r="K379" s="23"/>
      <c r="L379" s="23"/>
    </row>
    <row r="380" spans="3:12" x14ac:dyDescent="0.25">
      <c r="C380" s="23"/>
      <c r="D380" s="23"/>
      <c r="E380" s="23"/>
      <c r="F380" s="23"/>
      <c r="G380" s="23"/>
      <c r="H380" s="23"/>
      <c r="I380" s="23"/>
      <c r="J380" s="23"/>
      <c r="K380" s="23"/>
      <c r="L380" s="23"/>
    </row>
    <row r="381" spans="3:12" x14ac:dyDescent="0.25">
      <c r="C381" s="23"/>
      <c r="D381" s="23"/>
      <c r="E381" s="23"/>
      <c r="F381" s="23"/>
      <c r="G381" s="23"/>
      <c r="H381" s="23"/>
      <c r="I381" s="23"/>
      <c r="J381" s="23"/>
      <c r="K381" s="23"/>
      <c r="L381" s="23"/>
    </row>
    <row r="382" spans="3:12" x14ac:dyDescent="0.25">
      <c r="C382" s="23"/>
      <c r="D382" s="23"/>
      <c r="E382" s="23"/>
      <c r="F382" s="23"/>
      <c r="G382" s="23"/>
      <c r="H382" s="23"/>
      <c r="I382" s="23"/>
      <c r="J382" s="23"/>
      <c r="K382" s="23"/>
      <c r="L382" s="23"/>
    </row>
    <row r="383" spans="3:12" x14ac:dyDescent="0.25">
      <c r="C383" s="23"/>
      <c r="D383" s="23"/>
      <c r="E383" s="23"/>
      <c r="F383" s="23"/>
      <c r="G383" s="23"/>
      <c r="H383" s="23"/>
      <c r="I383" s="23"/>
      <c r="J383" s="23"/>
      <c r="K383" s="23"/>
      <c r="L383" s="23"/>
    </row>
    <row r="384" spans="3:12" x14ac:dyDescent="0.25">
      <c r="C384" s="23"/>
      <c r="D384" s="23"/>
      <c r="E384" s="23"/>
      <c r="F384" s="23"/>
      <c r="G384" s="23"/>
      <c r="H384" s="23"/>
      <c r="I384" s="23"/>
      <c r="J384" s="23"/>
      <c r="K384" s="23"/>
      <c r="L384" s="23"/>
    </row>
    <row r="385" spans="3:12" x14ac:dyDescent="0.25">
      <c r="C385" s="23"/>
      <c r="D385" s="23"/>
      <c r="E385" s="23"/>
      <c r="F385" s="23"/>
      <c r="G385" s="23"/>
      <c r="H385" s="23"/>
      <c r="I385" s="23"/>
      <c r="J385" s="23"/>
      <c r="K385" s="23"/>
      <c r="L385" s="23"/>
    </row>
    <row r="386" spans="3:12" x14ac:dyDescent="0.25">
      <c r="C386" s="23"/>
      <c r="D386" s="23"/>
      <c r="E386" s="23"/>
      <c r="F386" s="23"/>
      <c r="G386" s="23"/>
      <c r="H386" s="23"/>
      <c r="I386" s="23"/>
      <c r="J386" s="23"/>
      <c r="K386" s="23"/>
      <c r="L386" s="23"/>
    </row>
    <row r="387" spans="3:12" x14ac:dyDescent="0.25">
      <c r="C387" s="23"/>
      <c r="D387" s="23"/>
      <c r="E387" s="23"/>
      <c r="F387" s="23"/>
      <c r="G387" s="23"/>
      <c r="H387" s="23"/>
      <c r="I387" s="23"/>
      <c r="J387" s="23"/>
      <c r="K387" s="23"/>
      <c r="L387" s="23"/>
    </row>
    <row r="388" spans="3:12" x14ac:dyDescent="0.25">
      <c r="C388" s="23"/>
      <c r="D388" s="23"/>
      <c r="E388" s="23"/>
      <c r="F388" s="23"/>
      <c r="G388" s="23"/>
      <c r="H388" s="23"/>
      <c r="I388" s="23"/>
      <c r="J388" s="23"/>
      <c r="K388" s="23"/>
      <c r="L388" s="23"/>
    </row>
    <row r="389" spans="3:12" x14ac:dyDescent="0.25">
      <c r="C389" s="23"/>
      <c r="D389" s="23"/>
      <c r="E389" s="23"/>
      <c r="F389" s="23"/>
      <c r="G389" s="23"/>
      <c r="H389" s="23"/>
      <c r="I389" s="23"/>
      <c r="J389" s="23"/>
      <c r="K389" s="23"/>
      <c r="L389" s="23"/>
    </row>
    <row r="390" spans="3:12" x14ac:dyDescent="0.25">
      <c r="C390" s="23"/>
      <c r="D390" s="23"/>
      <c r="E390" s="23"/>
      <c r="F390" s="23"/>
      <c r="G390" s="23"/>
      <c r="H390" s="23"/>
      <c r="I390" s="23"/>
      <c r="J390" s="23"/>
      <c r="K390" s="23"/>
      <c r="L390" s="23"/>
    </row>
    <row r="391" spans="3:12" x14ac:dyDescent="0.25">
      <c r="C391" s="23"/>
      <c r="D391" s="23"/>
      <c r="E391" s="23"/>
      <c r="F391" s="23"/>
      <c r="G391" s="23"/>
      <c r="H391" s="23"/>
      <c r="I391" s="23"/>
      <c r="J391" s="23"/>
      <c r="K391" s="23"/>
      <c r="L391" s="23"/>
    </row>
    <row r="392" spans="3:12" x14ac:dyDescent="0.25">
      <c r="C392" s="23"/>
      <c r="D392" s="23"/>
      <c r="E392" s="23"/>
      <c r="F392" s="23"/>
      <c r="G392" s="23"/>
      <c r="H392" s="23"/>
      <c r="I392" s="23"/>
      <c r="J392" s="23"/>
      <c r="K392" s="23"/>
      <c r="L392" s="23"/>
    </row>
    <row r="393" spans="3:12" x14ac:dyDescent="0.25">
      <c r="C393" s="23"/>
      <c r="D393" s="23"/>
      <c r="E393" s="23"/>
      <c r="F393" s="23"/>
      <c r="G393" s="23"/>
      <c r="H393" s="23"/>
      <c r="I393" s="23"/>
      <c r="J393" s="23"/>
      <c r="K393" s="23"/>
      <c r="L393" s="23"/>
    </row>
    <row r="394" spans="3:12" x14ac:dyDescent="0.25">
      <c r="C394" s="23"/>
      <c r="D394" s="23"/>
      <c r="E394" s="23"/>
      <c r="F394" s="23"/>
      <c r="G394" s="23"/>
      <c r="H394" s="23"/>
      <c r="I394" s="23"/>
      <c r="J394" s="23"/>
      <c r="K394" s="23"/>
      <c r="L394" s="23"/>
    </row>
    <row r="395" spans="3:12" x14ac:dyDescent="0.25">
      <c r="C395" s="23"/>
      <c r="D395" s="23"/>
      <c r="E395" s="23"/>
      <c r="F395" s="23"/>
      <c r="G395" s="23"/>
      <c r="H395" s="23"/>
      <c r="I395" s="23"/>
      <c r="J395" s="23"/>
      <c r="K395" s="23"/>
      <c r="L395" s="23"/>
    </row>
    <row r="396" spans="3:12" x14ac:dyDescent="0.25">
      <c r="C396" s="23"/>
      <c r="D396" s="23"/>
      <c r="E396" s="23"/>
      <c r="F396" s="23"/>
      <c r="G396" s="23"/>
      <c r="H396" s="23"/>
      <c r="I396" s="23"/>
      <c r="J396" s="23"/>
      <c r="K396" s="23"/>
      <c r="L396" s="23"/>
    </row>
    <row r="397" spans="3:12" x14ac:dyDescent="0.25">
      <c r="C397" s="23"/>
      <c r="D397" s="23"/>
      <c r="E397" s="23"/>
      <c r="F397" s="23"/>
      <c r="G397" s="23"/>
      <c r="H397" s="23"/>
      <c r="I397" s="23"/>
      <c r="J397" s="23"/>
      <c r="K397" s="23"/>
      <c r="L397" s="23"/>
    </row>
    <row r="398" spans="3:12" x14ac:dyDescent="0.25">
      <c r="C398" s="23"/>
      <c r="D398" s="23"/>
      <c r="E398" s="23"/>
      <c r="F398" s="23"/>
      <c r="G398" s="23"/>
      <c r="H398" s="23"/>
      <c r="I398" s="23"/>
      <c r="J398" s="23"/>
      <c r="K398" s="23"/>
      <c r="L398" s="23"/>
    </row>
    <row r="399" spans="3:12" x14ac:dyDescent="0.25">
      <c r="C399" s="23"/>
      <c r="D399" s="23"/>
      <c r="E399" s="23"/>
      <c r="F399" s="23"/>
      <c r="G399" s="23"/>
      <c r="H399" s="23"/>
      <c r="I399" s="23"/>
      <c r="J399" s="23"/>
      <c r="K399" s="23"/>
      <c r="L399" s="23"/>
    </row>
    <row r="400" spans="3:12" x14ac:dyDescent="0.25">
      <c r="C400" s="23"/>
      <c r="D400" s="23"/>
      <c r="E400" s="23"/>
      <c r="F400" s="23"/>
      <c r="G400" s="23"/>
      <c r="H400" s="23"/>
      <c r="I400" s="23"/>
      <c r="J400" s="23"/>
      <c r="K400" s="23"/>
      <c r="L400" s="23"/>
    </row>
    <row r="401" spans="3:12" x14ac:dyDescent="0.25">
      <c r="C401" s="23"/>
      <c r="D401" s="23"/>
      <c r="E401" s="23"/>
      <c r="F401" s="23"/>
      <c r="G401" s="23"/>
      <c r="H401" s="23"/>
      <c r="I401" s="23"/>
      <c r="J401" s="23"/>
      <c r="K401" s="23"/>
      <c r="L401" s="23"/>
    </row>
    <row r="402" spans="3:12" x14ac:dyDescent="0.25">
      <c r="C402" s="23"/>
      <c r="D402" s="23"/>
      <c r="E402" s="23"/>
      <c r="F402" s="23"/>
      <c r="G402" s="23"/>
      <c r="H402" s="23"/>
      <c r="I402" s="23"/>
      <c r="J402" s="23"/>
      <c r="K402" s="23"/>
      <c r="L402" s="23"/>
    </row>
    <row r="403" spans="3:12" x14ac:dyDescent="0.25">
      <c r="C403" s="23"/>
      <c r="D403" s="23"/>
      <c r="E403" s="23"/>
      <c r="F403" s="23"/>
      <c r="G403" s="23"/>
      <c r="H403" s="23"/>
      <c r="I403" s="23"/>
      <c r="J403" s="23"/>
      <c r="K403" s="23"/>
      <c r="L403" s="23"/>
    </row>
    <row r="404" spans="3:12" x14ac:dyDescent="0.25">
      <c r="C404" s="23"/>
      <c r="D404" s="23"/>
      <c r="E404" s="23"/>
      <c r="F404" s="23"/>
      <c r="G404" s="23"/>
      <c r="H404" s="23"/>
      <c r="I404" s="23"/>
      <c r="J404" s="23"/>
      <c r="K404" s="23"/>
      <c r="L404" s="23"/>
    </row>
    <row r="405" spans="3:12" x14ac:dyDescent="0.25">
      <c r="C405" s="23"/>
      <c r="D405" s="23"/>
      <c r="E405" s="23"/>
      <c r="F405" s="23"/>
      <c r="G405" s="23"/>
      <c r="H405" s="23"/>
      <c r="I405" s="23"/>
      <c r="J405" s="23"/>
      <c r="K405" s="23"/>
      <c r="L405" s="23"/>
    </row>
    <row r="406" spans="3:12" x14ac:dyDescent="0.25">
      <c r="C406" s="23"/>
      <c r="D406" s="23"/>
      <c r="E406" s="23"/>
      <c r="F406" s="23"/>
      <c r="G406" s="23"/>
      <c r="H406" s="23"/>
      <c r="I406" s="23"/>
      <c r="J406" s="23"/>
      <c r="K406" s="23"/>
      <c r="L406" s="23"/>
    </row>
    <row r="407" spans="3:12" x14ac:dyDescent="0.25">
      <c r="C407" s="23"/>
      <c r="D407" s="23"/>
      <c r="E407" s="23"/>
      <c r="F407" s="23"/>
      <c r="G407" s="23"/>
      <c r="H407" s="23"/>
      <c r="I407" s="23"/>
      <c r="J407" s="23"/>
      <c r="K407" s="23"/>
      <c r="L407" s="23"/>
    </row>
    <row r="408" spans="3:12" x14ac:dyDescent="0.25">
      <c r="C408" s="23"/>
      <c r="D408" s="23"/>
      <c r="E408" s="23"/>
      <c r="F408" s="23"/>
      <c r="G408" s="23"/>
      <c r="H408" s="23"/>
      <c r="I408" s="23"/>
      <c r="J408" s="23"/>
      <c r="K408" s="23"/>
      <c r="L408" s="23"/>
    </row>
    <row r="409" spans="3:12" x14ac:dyDescent="0.25">
      <c r="C409" s="23"/>
      <c r="D409" s="23"/>
      <c r="E409" s="23"/>
      <c r="F409" s="23"/>
      <c r="G409" s="23"/>
      <c r="H409" s="23"/>
      <c r="I409" s="23"/>
      <c r="J409" s="23"/>
      <c r="K409" s="23"/>
      <c r="L409" s="23"/>
    </row>
    <row r="410" spans="3:12" x14ac:dyDescent="0.25">
      <c r="C410" s="23"/>
      <c r="D410" s="23"/>
      <c r="E410" s="23"/>
      <c r="F410" s="23"/>
      <c r="G410" s="23"/>
      <c r="H410" s="23"/>
      <c r="I410" s="23"/>
      <c r="J410" s="23"/>
      <c r="K410" s="23"/>
      <c r="L410" s="23"/>
    </row>
  </sheetData>
  <sheetProtection sheet="1" objects="1" scenarios="1"/>
  <conditionalFormatting sqref="C21:L330">
    <cfRule type="expression" dxfId="64" priority="1">
      <formula>$C21&lt;&gt;""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3" name="Button 2">
              <controlPr defaultSize="0" print="0" autoFill="0" autoPict="0" macro="[0]!OpenForm_W_recordsCompleted">
                <anchor moveWithCells="1" sizeWithCells="1">
                  <from>
                    <xdr:col>7</xdr:col>
                    <xdr:colOff>638175</xdr:colOff>
                    <xdr:row>10</xdr:row>
                    <xdr:rowOff>19050</xdr:rowOff>
                  </from>
                  <to>
                    <xdr:col>10</xdr:col>
                    <xdr:colOff>171450</xdr:colOff>
                    <xdr:row>12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4BF02-5052-4E80-A815-220C6B119089}">
  <sheetPr codeName="Arkusz14">
    <tabColor theme="5" tint="0.39997558519241921"/>
  </sheetPr>
  <dimension ref="A1:Z23"/>
  <sheetViews>
    <sheetView showGridLines="0" workbookViewId="0">
      <selection activeCell="D21" sqref="D21"/>
    </sheetView>
  </sheetViews>
  <sheetFormatPr defaultRowHeight="15" x14ac:dyDescent="0.25"/>
  <cols>
    <col min="3" max="3" width="6.5703125" customWidth="1"/>
    <col min="4" max="4" width="47.85546875" customWidth="1"/>
    <col min="5" max="6" width="24.28515625" customWidth="1"/>
  </cols>
  <sheetData>
    <row r="1" spans="1:26" x14ac:dyDescent="0.25">
      <c r="A1" s="1"/>
      <c r="B1" s="1"/>
      <c r="C1" s="1"/>
      <c r="D1" s="1"/>
      <c r="E1" s="1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</row>
    <row r="2" spans="1:26" ht="26.25" x14ac:dyDescent="0.4">
      <c r="A2" s="1"/>
      <c r="B2" s="1"/>
      <c r="C2" s="1"/>
      <c r="D2" s="3" t="s">
        <v>115</v>
      </c>
      <c r="E2" s="1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</row>
    <row r="3" spans="1:26" ht="18.75" x14ac:dyDescent="0.3">
      <c r="A3" s="1"/>
      <c r="B3" s="1"/>
      <c r="C3" s="1"/>
      <c r="D3" s="91" t="s">
        <v>108</v>
      </c>
      <c r="E3" s="75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</row>
    <row r="4" spans="1:26" ht="23.25" x14ac:dyDescent="0.35">
      <c r="A4" s="1"/>
      <c r="B4" s="1"/>
      <c r="C4" s="1"/>
      <c r="D4" s="1"/>
      <c r="E4" s="76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</row>
    <row r="5" spans="1:26" x14ac:dyDescent="0.25">
      <c r="A5" s="1"/>
      <c r="B5" s="1"/>
      <c r="C5" s="1"/>
      <c r="D5" s="1"/>
      <c r="E5" s="1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</row>
    <row r="6" spans="1:26" ht="15.75" thickBot="1" x14ac:dyDescent="0.3">
      <c r="A6" s="2"/>
      <c r="B6" s="2"/>
      <c r="C6" s="2"/>
      <c r="D6" s="2"/>
      <c r="E6" s="2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</row>
    <row r="9" spans="1:26" x14ac:dyDescent="0.25">
      <c r="C9" s="93"/>
      <c r="D9" s="94"/>
      <c r="E9" s="166"/>
      <c r="F9" s="95"/>
    </row>
    <row r="10" spans="1:26" ht="15.75" x14ac:dyDescent="0.25">
      <c r="C10" s="77"/>
      <c r="D10" s="167" t="s">
        <v>165</v>
      </c>
      <c r="E10" s="168">
        <v>2023</v>
      </c>
      <c r="F10" s="78"/>
    </row>
    <row r="11" spans="1:26" ht="15.75" x14ac:dyDescent="0.25">
      <c r="C11" s="77"/>
      <c r="D11" s="79" t="s">
        <v>164</v>
      </c>
      <c r="E11" s="168">
        <f>COUNTA(D21:D1214)</f>
        <v>0</v>
      </c>
      <c r="F11" s="78"/>
    </row>
    <row r="12" spans="1:26" x14ac:dyDescent="0.25">
      <c r="C12" s="77"/>
      <c r="D12" s="8"/>
      <c r="E12" s="8"/>
      <c r="F12" s="78"/>
    </row>
    <row r="13" spans="1:26" x14ac:dyDescent="0.25">
      <c r="C13" s="80"/>
      <c r="D13" s="81"/>
      <c r="E13" s="81"/>
      <c r="F13" s="82"/>
    </row>
    <row r="15" spans="1:26" hidden="1" x14ac:dyDescent="0.25"/>
    <row r="16" spans="1:26" hidden="1" x14ac:dyDescent="0.25"/>
    <row r="17" spans="3:4" hidden="1" x14ac:dyDescent="0.25"/>
    <row r="18" spans="3:4" hidden="1" x14ac:dyDescent="0.25"/>
    <row r="20" spans="3:4" x14ac:dyDescent="0.25">
      <c r="C20" s="88" t="s">
        <v>112</v>
      </c>
      <c r="D20" s="88" t="s">
        <v>113</v>
      </c>
    </row>
    <row r="21" spans="3:4" x14ac:dyDescent="0.25">
      <c r="C21" s="5"/>
      <c r="D21" s="5"/>
    </row>
    <row r="22" spans="3:4" x14ac:dyDescent="0.25">
      <c r="C22" s="5"/>
      <c r="D22" s="5"/>
    </row>
    <row r="23" spans="3:4" x14ac:dyDescent="0.25">
      <c r="C23" s="5"/>
      <c r="D23" s="5"/>
    </row>
  </sheetData>
  <sheetProtection sheet="1" objects="1" scenarios="1"/>
  <conditionalFormatting sqref="C21:D450">
    <cfRule type="expression" dxfId="63" priority="1">
      <formula>$C21&lt;&gt;""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OpenForm_W_daysOfVacationCompleted_pickY">
                <anchor moveWithCells="1">
                  <from>
                    <xdr:col>5</xdr:col>
                    <xdr:colOff>228600</xdr:colOff>
                    <xdr:row>8</xdr:row>
                    <xdr:rowOff>180975</xdr:rowOff>
                  </from>
                  <to>
                    <xdr:col>5</xdr:col>
                    <xdr:colOff>971550</xdr:colOff>
                    <xdr:row>10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D65E3-1CCF-4606-AD76-5B01A6C9BE4D}">
  <sheetPr codeName="Arkusz16">
    <tabColor rgb="FF92D050"/>
    <pageSetUpPr fitToPage="1"/>
  </sheetPr>
  <dimension ref="A1:BH115"/>
  <sheetViews>
    <sheetView showGridLines="0" zoomScale="70" zoomScaleNormal="70" workbookViewId="0">
      <selection activeCell="E17" sqref="E17:BF17"/>
    </sheetView>
  </sheetViews>
  <sheetFormatPr defaultColWidth="0" defaultRowHeight="15" x14ac:dyDescent="0.25"/>
  <cols>
    <col min="1" max="1" width="3" customWidth="1"/>
    <col min="2" max="2" width="2.42578125" customWidth="1"/>
    <col min="3" max="3" width="9.140625" customWidth="1"/>
    <col min="4" max="4" width="17.28515625" customWidth="1"/>
    <col min="5" max="5" width="9.140625" customWidth="1"/>
    <col min="6" max="6" width="11.5703125" customWidth="1"/>
    <col min="7" max="8" width="6.140625" customWidth="1"/>
    <col min="9" max="9" width="7" customWidth="1"/>
    <col min="10" max="37" width="6.140625" customWidth="1"/>
    <col min="38" max="38" width="12.28515625" customWidth="1"/>
    <col min="39" max="41" width="11.42578125" customWidth="1"/>
    <col min="42" max="58" width="5" customWidth="1"/>
    <col min="59" max="59" width="9.140625" customWidth="1"/>
    <col min="60" max="60" width="0" hidden="1" customWidth="1"/>
    <col min="61" max="16384" width="9.140625" hidden="1"/>
  </cols>
  <sheetData>
    <row r="1" spans="1:60" x14ac:dyDescent="0.25">
      <c r="A1" s="1"/>
      <c r="B1" s="1"/>
      <c r="C1" s="1"/>
      <c r="D1" s="1"/>
      <c r="E1" s="1"/>
      <c r="F1" s="3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</row>
    <row r="2" spans="1:60" ht="26.25" x14ac:dyDescent="0.4">
      <c r="A2" s="1"/>
      <c r="B2" s="1"/>
      <c r="C2" s="1"/>
      <c r="D2" s="1"/>
      <c r="E2" s="3" t="s">
        <v>132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</row>
    <row r="3" spans="1:60" ht="18.75" x14ac:dyDescent="0.3">
      <c r="A3" s="1"/>
      <c r="B3" s="1"/>
      <c r="C3" s="1"/>
      <c r="D3" s="1"/>
      <c r="F3" s="75" t="s">
        <v>96</v>
      </c>
      <c r="G3" s="1"/>
      <c r="H3" s="75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4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</row>
    <row r="4" spans="1:60" x14ac:dyDescent="0.25">
      <c r="A4" s="1"/>
      <c r="B4" s="1"/>
      <c r="C4" s="1"/>
      <c r="D4" s="1"/>
      <c r="E4" s="1"/>
      <c r="F4" s="35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4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</row>
    <row r="5" spans="1:60" x14ac:dyDescent="0.25">
      <c r="A5" s="1"/>
      <c r="B5" s="1"/>
      <c r="C5" s="1"/>
      <c r="D5" s="1"/>
      <c r="E5" s="1"/>
      <c r="F5" s="35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</row>
    <row r="6" spans="1:60" ht="15.75" thickBot="1" x14ac:dyDescent="0.3">
      <c r="A6" s="2"/>
      <c r="B6" s="2"/>
      <c r="C6" s="2"/>
      <c r="D6" s="2"/>
      <c r="E6" s="2"/>
      <c r="F6" s="36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</row>
    <row r="8" spans="1:60" x14ac:dyDescent="0.25">
      <c r="D8" s="279" t="s">
        <v>58</v>
      </c>
      <c r="E8" s="279"/>
      <c r="F8" s="279"/>
      <c r="G8" s="165"/>
      <c r="H8" s="165"/>
      <c r="I8" s="280" t="s">
        <v>133</v>
      </c>
      <c r="J8" s="280"/>
    </row>
    <row r="9" spans="1:60" ht="38.25" customHeight="1" x14ac:dyDescent="0.25">
      <c r="C9" s="122"/>
      <c r="D9" s="268"/>
      <c r="E9" s="268"/>
      <c r="F9" s="268"/>
      <c r="G9" s="164">
        <v>64</v>
      </c>
      <c r="H9" s="47"/>
      <c r="I9" s="305">
        <v>2023</v>
      </c>
      <c r="J9" s="306"/>
      <c r="Z9" s="26"/>
    </row>
    <row r="10" spans="1:60" ht="18" customHeight="1" x14ac:dyDescent="0.25">
      <c r="M10" s="163" t="s">
        <v>6</v>
      </c>
      <c r="N10" s="307"/>
      <c r="O10" s="307"/>
      <c r="P10" s="307"/>
      <c r="Q10" s="307"/>
      <c r="R10" s="307"/>
    </row>
    <row r="11" spans="1:60" x14ac:dyDescent="0.25">
      <c r="M11" s="163" t="s">
        <v>7</v>
      </c>
      <c r="N11" s="308"/>
      <c r="O11" s="309"/>
      <c r="P11" s="309"/>
      <c r="Q11" s="309"/>
      <c r="R11" s="310"/>
      <c r="W11" s="315" t="s">
        <v>59</v>
      </c>
      <c r="X11" s="315"/>
      <c r="Y11" s="315"/>
      <c r="Z11" s="256" t="s">
        <v>60</v>
      </c>
      <c r="AA11" s="256"/>
      <c r="AB11" s="256"/>
      <c r="AC11" s="256" t="s">
        <v>61</v>
      </c>
      <c r="AD11" s="256"/>
      <c r="AE11" s="256"/>
      <c r="AK11" s="315" t="s">
        <v>84</v>
      </c>
      <c r="AL11" s="315"/>
    </row>
    <row r="12" spans="1:60" x14ac:dyDescent="0.25">
      <c r="M12" s="163" t="s">
        <v>74</v>
      </c>
      <c r="N12" s="311"/>
      <c r="O12" s="312"/>
      <c r="P12" s="312"/>
      <c r="Q12" s="312"/>
      <c r="R12" s="313"/>
      <c r="T12" s="26"/>
      <c r="V12" s="26" t="s">
        <v>62</v>
      </c>
      <c r="W12" s="281"/>
      <c r="X12" s="281"/>
      <c r="Y12" s="281"/>
      <c r="Z12" s="281"/>
      <c r="AA12" s="281"/>
      <c r="AB12" s="281"/>
      <c r="AC12" s="281">
        <f>W12-Z12</f>
        <v>0</v>
      </c>
      <c r="AD12" s="281"/>
      <c r="AE12" s="281"/>
      <c r="AJ12" s="26" t="s">
        <v>89</v>
      </c>
      <c r="AK12" s="281"/>
      <c r="AL12" s="281"/>
    </row>
    <row r="13" spans="1:60" x14ac:dyDescent="0.25">
      <c r="M13" s="163" t="s">
        <v>75</v>
      </c>
      <c r="N13" s="311"/>
      <c r="O13" s="312"/>
      <c r="P13" s="312"/>
      <c r="Q13" s="312"/>
      <c r="R13" s="313"/>
      <c r="V13" s="26" t="s">
        <v>63</v>
      </c>
      <c r="W13" s="281"/>
      <c r="X13" s="281"/>
      <c r="Y13" s="281"/>
      <c r="Z13" s="281"/>
      <c r="AA13" s="281"/>
      <c r="AB13" s="281"/>
      <c r="AC13" s="281">
        <f>W13-Z13</f>
        <v>0</v>
      </c>
      <c r="AD13" s="281"/>
      <c r="AE13" s="281"/>
      <c r="AJ13" s="26" t="s">
        <v>83</v>
      </c>
      <c r="AK13" s="281"/>
      <c r="AL13" s="281"/>
    </row>
    <row r="16" spans="1:60" ht="24.75" customHeight="1" x14ac:dyDescent="0.25"/>
    <row r="17" spans="3:59" ht="23.25" x14ac:dyDescent="0.35">
      <c r="E17" s="316" t="str">
        <f>"ROCZNA KARTA EWIDENCJI CZASU PRACY za rok " &amp;I9</f>
        <v>ROCZNA KARTA EWIDENCJI CZASU PRACY za rok 2023</v>
      </c>
      <c r="F17" s="316"/>
      <c r="G17" s="316"/>
      <c r="H17" s="316"/>
      <c r="I17" s="316"/>
      <c r="J17" s="316"/>
      <c r="K17" s="316"/>
      <c r="L17" s="316"/>
      <c r="M17" s="316"/>
      <c r="N17" s="316"/>
      <c r="O17" s="316"/>
      <c r="P17" s="316"/>
      <c r="Q17" s="316"/>
      <c r="R17" s="316"/>
      <c r="S17" s="316"/>
      <c r="T17" s="316"/>
      <c r="U17" s="316"/>
      <c r="V17" s="316"/>
      <c r="W17" s="316"/>
      <c r="X17" s="316"/>
      <c r="Y17" s="316"/>
      <c r="Z17" s="316"/>
      <c r="AA17" s="316"/>
      <c r="AB17" s="316"/>
      <c r="AC17" s="316"/>
      <c r="AD17" s="316"/>
      <c r="AE17" s="316"/>
      <c r="AF17" s="316"/>
      <c r="AG17" s="316"/>
      <c r="AH17" s="316"/>
      <c r="AI17" s="316"/>
      <c r="AJ17" s="316"/>
      <c r="AK17" s="316"/>
      <c r="AL17" s="316"/>
      <c r="AM17" s="316"/>
      <c r="AN17" s="316"/>
      <c r="AO17" s="316"/>
      <c r="AP17" s="316"/>
      <c r="AQ17" s="316"/>
      <c r="AR17" s="316"/>
      <c r="AS17" s="316"/>
      <c r="AT17" s="316"/>
      <c r="AU17" s="316"/>
      <c r="AV17" s="316"/>
      <c r="AW17" s="316"/>
      <c r="AX17" s="316"/>
      <c r="AY17" s="316"/>
      <c r="AZ17" s="316"/>
      <c r="BA17" s="316"/>
      <c r="BB17" s="316"/>
      <c r="BC17" s="316"/>
      <c r="BD17" s="316"/>
      <c r="BE17" s="316"/>
      <c r="BF17" s="316"/>
    </row>
    <row r="18" spans="3:59" ht="10.5" customHeight="1" x14ac:dyDescent="0.35"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127"/>
      <c r="Z18" s="127"/>
      <c r="AA18" s="127"/>
      <c r="AB18" s="127"/>
      <c r="AC18" s="127"/>
      <c r="AD18" s="127"/>
      <c r="AE18" s="127"/>
      <c r="AF18" s="127"/>
      <c r="AG18" s="127"/>
      <c r="AH18" s="127"/>
      <c r="AI18" s="127"/>
      <c r="AJ18" s="127"/>
      <c r="AK18" s="127"/>
      <c r="AL18" s="127"/>
      <c r="AM18" s="127"/>
      <c r="AN18" s="127"/>
      <c r="AO18" s="127"/>
      <c r="AP18" s="127"/>
      <c r="AQ18" s="127"/>
      <c r="AR18" s="127"/>
      <c r="AS18" s="127"/>
      <c r="AT18" s="127"/>
      <c r="AU18" s="127"/>
      <c r="AV18" s="127"/>
      <c r="AW18" s="127"/>
      <c r="AX18" s="127"/>
      <c r="AY18" s="127"/>
      <c r="AZ18" s="127"/>
      <c r="BA18" s="127"/>
      <c r="BB18" s="127"/>
      <c r="BC18" s="127"/>
      <c r="BD18" s="127"/>
      <c r="BE18" s="127"/>
      <c r="BF18" s="127"/>
    </row>
    <row r="19" spans="3:59" x14ac:dyDescent="0.25">
      <c r="C19" s="30"/>
      <c r="D19" s="37"/>
      <c r="G19" s="26" t="s">
        <v>155</v>
      </c>
      <c r="H19" s="314" t="s">
        <v>230</v>
      </c>
      <c r="I19" s="314"/>
      <c r="J19" s="314"/>
      <c r="K19" s="314"/>
      <c r="L19" s="314"/>
      <c r="M19" s="314"/>
      <c r="N19" s="314"/>
      <c r="O19" s="314"/>
      <c r="P19" s="314"/>
      <c r="Q19" s="314"/>
      <c r="R19" s="314"/>
      <c r="S19" s="314"/>
      <c r="T19" s="314"/>
      <c r="U19" s="314"/>
      <c r="V19" s="314"/>
    </row>
    <row r="20" spans="3:59" ht="15.75" thickBot="1" x14ac:dyDescent="0.3">
      <c r="G20" s="26" t="s">
        <v>156</v>
      </c>
      <c r="H20" s="314" t="s">
        <v>229</v>
      </c>
      <c r="I20" s="314"/>
      <c r="J20" s="314"/>
      <c r="K20" s="314"/>
      <c r="L20" s="314"/>
      <c r="M20" s="314"/>
      <c r="N20" s="314"/>
      <c r="O20" s="314"/>
      <c r="P20" s="314"/>
      <c r="Q20" s="314"/>
      <c r="R20" s="314"/>
      <c r="S20" s="314"/>
      <c r="T20" s="314"/>
      <c r="U20" s="314"/>
      <c r="V20" s="314"/>
      <c r="W20" s="314"/>
      <c r="X20" s="314"/>
      <c r="Y20" s="314"/>
      <c r="Z20" s="314"/>
      <c r="AA20" s="314"/>
      <c r="AB20" s="314"/>
      <c r="AC20" s="314"/>
      <c r="AD20" s="314"/>
      <c r="AE20" s="314"/>
      <c r="AF20" s="314"/>
      <c r="AG20" s="314"/>
      <c r="AH20" s="314"/>
      <c r="AI20" s="314"/>
      <c r="AJ20" s="314"/>
      <c r="AK20" s="314"/>
      <c r="AL20" s="314"/>
      <c r="AM20" s="314"/>
      <c r="AN20" s="314"/>
      <c r="AO20" s="314"/>
      <c r="AP20" s="314"/>
      <c r="AQ20" s="314"/>
      <c r="AR20" s="314"/>
      <c r="BF20" s="128" t="s">
        <v>231</v>
      </c>
    </row>
    <row r="21" spans="3:59" ht="15.75" hidden="1" thickBot="1" x14ac:dyDescent="0.3">
      <c r="G21" s="26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</row>
    <row r="22" spans="3:59" ht="15.75" x14ac:dyDescent="0.25">
      <c r="E22" s="320" t="s">
        <v>158</v>
      </c>
      <c r="F22" s="322"/>
      <c r="G22" s="303" t="s">
        <v>162</v>
      </c>
      <c r="H22" s="303"/>
      <c r="I22" s="303"/>
      <c r="J22" s="303"/>
      <c r="K22" s="303"/>
      <c r="L22" s="303"/>
      <c r="M22" s="303"/>
      <c r="N22" s="303"/>
      <c r="O22" s="303"/>
      <c r="P22" s="303"/>
      <c r="Q22" s="303"/>
      <c r="R22" s="303"/>
      <c r="S22" s="303"/>
      <c r="T22" s="303"/>
      <c r="U22" s="303"/>
      <c r="V22" s="303"/>
      <c r="W22" s="303"/>
      <c r="X22" s="303"/>
      <c r="Y22" s="303"/>
      <c r="Z22" s="303"/>
      <c r="AA22" s="303"/>
      <c r="AB22" s="303"/>
      <c r="AC22" s="303"/>
      <c r="AD22" s="303"/>
      <c r="AE22" s="303"/>
      <c r="AF22" s="303"/>
      <c r="AG22" s="303"/>
      <c r="AH22" s="303"/>
      <c r="AI22" s="303"/>
      <c r="AJ22" s="303"/>
      <c r="AK22" s="304"/>
      <c r="AL22" s="303" t="s">
        <v>157</v>
      </c>
      <c r="AM22" s="303"/>
      <c r="AN22" s="303"/>
      <c r="AO22" s="304"/>
      <c r="AP22" s="317" t="s">
        <v>166</v>
      </c>
      <c r="AQ22" s="318"/>
      <c r="AR22" s="318"/>
      <c r="AS22" s="318"/>
      <c r="AT22" s="318"/>
      <c r="AU22" s="318"/>
      <c r="AV22" s="318"/>
      <c r="AW22" s="318"/>
      <c r="AX22" s="318"/>
      <c r="AY22" s="318"/>
      <c r="AZ22" s="318"/>
      <c r="BA22" s="318"/>
      <c r="BB22" s="318"/>
      <c r="BC22" s="318"/>
      <c r="BD22" s="318"/>
      <c r="BE22" s="318"/>
      <c r="BF22" s="319"/>
    </row>
    <row r="23" spans="3:59" ht="30.75" thickBot="1" x14ac:dyDescent="0.3">
      <c r="E23" s="321"/>
      <c r="F23" s="323"/>
      <c r="G23" s="132">
        <v>1</v>
      </c>
      <c r="H23" s="132">
        <v>2</v>
      </c>
      <c r="I23" s="132">
        <v>3</v>
      </c>
      <c r="J23" s="132">
        <v>4</v>
      </c>
      <c r="K23" s="132">
        <v>5</v>
      </c>
      <c r="L23" s="132">
        <v>6</v>
      </c>
      <c r="M23" s="132">
        <v>7</v>
      </c>
      <c r="N23" s="132">
        <v>8</v>
      </c>
      <c r="O23" s="132">
        <v>9</v>
      </c>
      <c r="P23" s="132">
        <v>10</v>
      </c>
      <c r="Q23" s="132">
        <v>11</v>
      </c>
      <c r="R23" s="132">
        <v>12</v>
      </c>
      <c r="S23" s="132">
        <v>13</v>
      </c>
      <c r="T23" s="132">
        <v>14</v>
      </c>
      <c r="U23" s="132">
        <v>15</v>
      </c>
      <c r="V23" s="132">
        <v>16</v>
      </c>
      <c r="W23" s="132">
        <v>17</v>
      </c>
      <c r="X23" s="132">
        <v>18</v>
      </c>
      <c r="Y23" s="132">
        <v>19</v>
      </c>
      <c r="Z23" s="132">
        <v>20</v>
      </c>
      <c r="AA23" s="132">
        <v>21</v>
      </c>
      <c r="AB23" s="132">
        <v>22</v>
      </c>
      <c r="AC23" s="132">
        <v>23</v>
      </c>
      <c r="AD23" s="132">
        <v>24</v>
      </c>
      <c r="AE23" s="132">
        <v>25</v>
      </c>
      <c r="AF23" s="132">
        <v>26</v>
      </c>
      <c r="AG23" s="132">
        <v>27</v>
      </c>
      <c r="AH23" s="132">
        <v>28</v>
      </c>
      <c r="AI23" s="132">
        <v>29</v>
      </c>
      <c r="AJ23" s="132">
        <v>30</v>
      </c>
      <c r="AK23" s="129">
        <v>31</v>
      </c>
      <c r="AL23" s="130" t="s">
        <v>154</v>
      </c>
      <c r="AM23" s="130" t="s">
        <v>68</v>
      </c>
      <c r="AN23" s="130" t="s">
        <v>153</v>
      </c>
      <c r="AO23" s="131" t="s">
        <v>149</v>
      </c>
      <c r="AP23" s="124" t="s">
        <v>33</v>
      </c>
      <c r="AQ23" s="124" t="s">
        <v>34</v>
      </c>
      <c r="AR23" s="124" t="s">
        <v>35</v>
      </c>
      <c r="AS23" s="124" t="s">
        <v>36</v>
      </c>
      <c r="AT23" s="124" t="s">
        <v>37</v>
      </c>
      <c r="AU23" s="124" t="s">
        <v>38</v>
      </c>
      <c r="AV23" s="124" t="s">
        <v>167</v>
      </c>
      <c r="AW23" s="124" t="s">
        <v>39</v>
      </c>
      <c r="AX23" s="124" t="s">
        <v>40</v>
      </c>
      <c r="AY23" s="124" t="s">
        <v>41</v>
      </c>
      <c r="AZ23" s="124" t="s">
        <v>42</v>
      </c>
      <c r="BA23" s="124" t="s">
        <v>43</v>
      </c>
      <c r="BB23" s="124" t="s">
        <v>44</v>
      </c>
      <c r="BC23" s="124" t="s">
        <v>45</v>
      </c>
      <c r="BD23" s="124" t="s">
        <v>46</v>
      </c>
      <c r="BE23" s="124" t="s">
        <v>47</v>
      </c>
      <c r="BF23" s="125" t="s">
        <v>48</v>
      </c>
    </row>
    <row r="24" spans="3:59" ht="3" customHeight="1" thickBot="1" x14ac:dyDescent="0.3">
      <c r="E24" s="321"/>
      <c r="F24" s="323"/>
      <c r="AK24" s="123"/>
      <c r="AL24" s="126"/>
      <c r="AM24" s="124"/>
      <c r="AN24" s="124"/>
      <c r="AO24" s="125"/>
      <c r="AP24" s="124"/>
      <c r="AQ24" s="124"/>
      <c r="AR24" s="124"/>
      <c r="AS24" s="124"/>
      <c r="AT24" s="124"/>
      <c r="AU24" s="124"/>
      <c r="AV24" s="124"/>
      <c r="AW24" s="124"/>
      <c r="AX24" s="124"/>
      <c r="AY24" s="124"/>
      <c r="AZ24" s="124"/>
      <c r="BA24" s="124"/>
      <c r="BB24" s="124"/>
      <c r="BC24" s="124"/>
      <c r="BD24" s="124"/>
      <c r="BE24" s="124"/>
      <c r="BF24" s="125"/>
    </row>
    <row r="25" spans="3:59" ht="21" customHeight="1" x14ac:dyDescent="0.25">
      <c r="E25" s="265" t="s">
        <v>134</v>
      </c>
      <c r="F25" s="136" t="s">
        <v>147</v>
      </c>
      <c r="G25" s="146"/>
      <c r="H25" s="137"/>
      <c r="I25" s="145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8"/>
      <c r="AL25" s="327">
        <f>SUMIF(G25:AK25,"PE",G26:AK26)</f>
        <v>0</v>
      </c>
      <c r="AM25" s="330">
        <f>SUMIF(G25:AK25,"PE",G29:AK29)</f>
        <v>0</v>
      </c>
      <c r="AN25" s="333">
        <f>SUM(G30:AK30)</f>
        <v>0</v>
      </c>
      <c r="AO25" s="336">
        <f>SUM(G31:AK31)</f>
        <v>0</v>
      </c>
      <c r="AP25" s="295" t="str">
        <f>IF(COUNTIF($G25:$AK25,AP$23)=0,"",COUNTIF($G25:$AK25,AP$23))</f>
        <v/>
      </c>
      <c r="AQ25" s="289" t="str">
        <f>IF(COUNTIF($G25:$AK25,AQ$23)=0,"",COUNTIF($G25:$AK25,AQ$23))</f>
        <v/>
      </c>
      <c r="AR25" s="289" t="str">
        <f t="shared" ref="AR25:BE25" si="0">IF(COUNTIF($G25:$AK25,AR$23)=0,"",COUNTIF($G25:$AK25,AR$23))</f>
        <v/>
      </c>
      <c r="AS25" s="289" t="str">
        <f t="shared" si="0"/>
        <v/>
      </c>
      <c r="AT25" s="289" t="str">
        <f t="shared" si="0"/>
        <v/>
      </c>
      <c r="AU25" s="289" t="str">
        <f t="shared" si="0"/>
        <v/>
      </c>
      <c r="AV25" s="289" t="str">
        <f t="shared" si="0"/>
        <v/>
      </c>
      <c r="AW25" s="289" t="str">
        <f t="shared" si="0"/>
        <v/>
      </c>
      <c r="AX25" s="289" t="str">
        <f t="shared" si="0"/>
        <v/>
      </c>
      <c r="AY25" s="289" t="str">
        <f t="shared" si="0"/>
        <v/>
      </c>
      <c r="AZ25" s="289" t="str">
        <f t="shared" si="0"/>
        <v/>
      </c>
      <c r="BA25" s="289" t="str">
        <f t="shared" si="0"/>
        <v/>
      </c>
      <c r="BB25" s="289" t="str">
        <f t="shared" si="0"/>
        <v/>
      </c>
      <c r="BC25" s="289" t="str">
        <f t="shared" si="0"/>
        <v/>
      </c>
      <c r="BD25" s="289" t="str">
        <f t="shared" si="0"/>
        <v/>
      </c>
      <c r="BE25" s="289" t="str">
        <f t="shared" si="0"/>
        <v/>
      </c>
      <c r="BF25" s="292" t="str">
        <f>IF(COUNTIF($G25:$AK25,BF$23)=0,"",COUNTIF($G25:$AK25,BF$23))</f>
        <v/>
      </c>
      <c r="BG25" s="156"/>
    </row>
    <row r="26" spans="3:59" ht="21" x14ac:dyDescent="0.25">
      <c r="E26" s="266"/>
      <c r="F26" s="133" t="s">
        <v>152</v>
      </c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147"/>
      <c r="R26" s="147"/>
      <c r="S26" s="147"/>
      <c r="T26" s="147"/>
      <c r="U26" s="147"/>
      <c r="V26" s="147"/>
      <c r="W26" s="147"/>
      <c r="X26" s="147"/>
      <c r="Y26" s="147"/>
      <c r="Z26" s="147"/>
      <c r="AA26" s="147"/>
      <c r="AB26" s="147"/>
      <c r="AC26" s="147"/>
      <c r="AD26" s="147"/>
      <c r="AE26" s="147"/>
      <c r="AF26" s="147"/>
      <c r="AG26" s="147"/>
      <c r="AH26" s="147"/>
      <c r="AI26" s="147"/>
      <c r="AJ26" s="147"/>
      <c r="AK26" s="148"/>
      <c r="AL26" s="328"/>
      <c r="AM26" s="331"/>
      <c r="AN26" s="334"/>
      <c r="AO26" s="337"/>
      <c r="AP26" s="296"/>
      <c r="AQ26" s="290"/>
      <c r="AR26" s="290"/>
      <c r="AS26" s="290"/>
      <c r="AT26" s="290"/>
      <c r="AU26" s="290"/>
      <c r="AV26" s="290"/>
      <c r="AW26" s="290"/>
      <c r="AX26" s="290"/>
      <c r="AY26" s="290"/>
      <c r="AZ26" s="290"/>
      <c r="BA26" s="290"/>
      <c r="BB26" s="290"/>
      <c r="BC26" s="290"/>
      <c r="BD26" s="290"/>
      <c r="BE26" s="290"/>
      <c r="BF26" s="293"/>
      <c r="BG26" s="156"/>
    </row>
    <row r="27" spans="3:59" ht="15" customHeight="1" x14ac:dyDescent="0.25">
      <c r="E27" s="266"/>
      <c r="F27" s="134" t="s">
        <v>146</v>
      </c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  <c r="T27" s="147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47"/>
      <c r="AJ27" s="147"/>
      <c r="AK27" s="148"/>
      <c r="AL27" s="328"/>
      <c r="AM27" s="331"/>
      <c r="AN27" s="334"/>
      <c r="AO27" s="337"/>
      <c r="AP27" s="296"/>
      <c r="AQ27" s="290"/>
      <c r="AR27" s="290"/>
      <c r="AS27" s="290"/>
      <c r="AT27" s="290"/>
      <c r="AU27" s="290"/>
      <c r="AV27" s="290"/>
      <c r="AW27" s="290"/>
      <c r="AX27" s="290"/>
      <c r="AY27" s="290"/>
      <c r="AZ27" s="290"/>
      <c r="BA27" s="290"/>
      <c r="BB27" s="290"/>
      <c r="BC27" s="290"/>
      <c r="BD27" s="290"/>
      <c r="BE27" s="290"/>
      <c r="BF27" s="293"/>
      <c r="BG27" s="156"/>
    </row>
    <row r="28" spans="3:59" ht="15" customHeight="1" x14ac:dyDescent="0.25">
      <c r="E28" s="266"/>
      <c r="F28" s="134" t="s">
        <v>150</v>
      </c>
      <c r="G28" s="147"/>
      <c r="H28" s="147"/>
      <c r="I28" s="147"/>
      <c r="J28" s="147"/>
      <c r="K28" s="147"/>
      <c r="L28" s="147"/>
      <c r="M28" s="147"/>
      <c r="N28" s="147"/>
      <c r="O28" s="147"/>
      <c r="P28" s="147"/>
      <c r="Q28" s="147"/>
      <c r="R28" s="147"/>
      <c r="S28" s="147"/>
      <c r="T28" s="147"/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47"/>
      <c r="AF28" s="147"/>
      <c r="AG28" s="147"/>
      <c r="AH28" s="147"/>
      <c r="AI28" s="147"/>
      <c r="AJ28" s="147"/>
      <c r="AK28" s="148"/>
      <c r="AL28" s="328"/>
      <c r="AM28" s="331"/>
      <c r="AN28" s="334"/>
      <c r="AO28" s="337"/>
      <c r="AP28" s="296"/>
      <c r="AQ28" s="290"/>
      <c r="AR28" s="290"/>
      <c r="AS28" s="290"/>
      <c r="AT28" s="290"/>
      <c r="AU28" s="290"/>
      <c r="AV28" s="290"/>
      <c r="AW28" s="290"/>
      <c r="AX28" s="290"/>
      <c r="AY28" s="290"/>
      <c r="AZ28" s="290"/>
      <c r="BA28" s="290"/>
      <c r="BB28" s="290"/>
      <c r="BC28" s="290"/>
      <c r="BD28" s="290"/>
      <c r="BE28" s="290"/>
      <c r="BF28" s="293"/>
      <c r="BG28" s="156"/>
    </row>
    <row r="29" spans="3:59" ht="15" customHeight="1" x14ac:dyDescent="0.25">
      <c r="E29" s="266"/>
      <c r="F29" s="134" t="s">
        <v>68</v>
      </c>
      <c r="G29" s="147"/>
      <c r="H29" s="147"/>
      <c r="I29" s="147"/>
      <c r="J29" s="147"/>
      <c r="K29" s="147"/>
      <c r="L29" s="147"/>
      <c r="M29" s="147"/>
      <c r="N29" s="147"/>
      <c r="O29" s="147"/>
      <c r="P29" s="147"/>
      <c r="Q29" s="147"/>
      <c r="R29" s="147"/>
      <c r="S29" s="147"/>
      <c r="T29" s="147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47"/>
      <c r="AJ29" s="147"/>
      <c r="AK29" s="148"/>
      <c r="AL29" s="328"/>
      <c r="AM29" s="331"/>
      <c r="AN29" s="334"/>
      <c r="AO29" s="337"/>
      <c r="AP29" s="296"/>
      <c r="AQ29" s="290"/>
      <c r="AR29" s="290"/>
      <c r="AS29" s="290"/>
      <c r="AT29" s="290"/>
      <c r="AU29" s="290"/>
      <c r="AV29" s="290"/>
      <c r="AW29" s="290"/>
      <c r="AX29" s="290"/>
      <c r="AY29" s="290"/>
      <c r="AZ29" s="290"/>
      <c r="BA29" s="290"/>
      <c r="BB29" s="290"/>
      <c r="BC29" s="290"/>
      <c r="BD29" s="290"/>
      <c r="BE29" s="290"/>
      <c r="BF29" s="293"/>
      <c r="BG29" s="156"/>
    </row>
    <row r="30" spans="3:59" ht="15" customHeight="1" x14ac:dyDescent="0.25">
      <c r="E30" s="266"/>
      <c r="F30" s="135" t="s">
        <v>148</v>
      </c>
      <c r="G30" s="147"/>
      <c r="H30" s="147"/>
      <c r="I30" s="147"/>
      <c r="J30" s="147"/>
      <c r="K30" s="147"/>
      <c r="L30" s="147"/>
      <c r="M30" s="147"/>
      <c r="N30" s="147"/>
      <c r="O30" s="147"/>
      <c r="P30" s="147"/>
      <c r="Q30" s="147"/>
      <c r="R30" s="147"/>
      <c r="S30" s="147"/>
      <c r="T30" s="147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47"/>
      <c r="AF30" s="147"/>
      <c r="AG30" s="147"/>
      <c r="AH30" s="147"/>
      <c r="AI30" s="147"/>
      <c r="AJ30" s="147"/>
      <c r="AK30" s="148"/>
      <c r="AL30" s="328"/>
      <c r="AM30" s="331"/>
      <c r="AN30" s="334"/>
      <c r="AO30" s="337"/>
      <c r="AP30" s="296"/>
      <c r="AQ30" s="290"/>
      <c r="AR30" s="290"/>
      <c r="AS30" s="290"/>
      <c r="AT30" s="290"/>
      <c r="AU30" s="290"/>
      <c r="AV30" s="290"/>
      <c r="AW30" s="290"/>
      <c r="AX30" s="290"/>
      <c r="AY30" s="290"/>
      <c r="AZ30" s="290"/>
      <c r="BA30" s="290"/>
      <c r="BB30" s="290"/>
      <c r="BC30" s="290"/>
      <c r="BD30" s="290"/>
      <c r="BE30" s="290"/>
      <c r="BF30" s="293"/>
      <c r="BG30" s="156"/>
    </row>
    <row r="31" spans="3:59" ht="15.75" customHeight="1" thickBot="1" x14ac:dyDescent="0.3">
      <c r="E31" s="267"/>
      <c r="F31" s="139" t="s">
        <v>149</v>
      </c>
      <c r="G31" s="149"/>
      <c r="H31" s="149"/>
      <c r="I31" s="149"/>
      <c r="J31" s="149"/>
      <c r="K31" s="149"/>
      <c r="L31" s="149"/>
      <c r="M31" s="149"/>
      <c r="N31" s="149"/>
      <c r="O31" s="149"/>
      <c r="P31" s="149"/>
      <c r="Q31" s="149"/>
      <c r="R31" s="149"/>
      <c r="S31" s="149"/>
      <c r="T31" s="149"/>
      <c r="U31" s="149"/>
      <c r="V31" s="149"/>
      <c r="W31" s="149"/>
      <c r="X31" s="149"/>
      <c r="Y31" s="149"/>
      <c r="Z31" s="149"/>
      <c r="AA31" s="149"/>
      <c r="AB31" s="149"/>
      <c r="AC31" s="149"/>
      <c r="AD31" s="149"/>
      <c r="AE31" s="149"/>
      <c r="AF31" s="149"/>
      <c r="AG31" s="149"/>
      <c r="AH31" s="149"/>
      <c r="AI31" s="149"/>
      <c r="AJ31" s="149"/>
      <c r="AK31" s="150"/>
      <c r="AL31" s="329"/>
      <c r="AM31" s="332"/>
      <c r="AN31" s="335"/>
      <c r="AO31" s="338"/>
      <c r="AP31" s="297"/>
      <c r="AQ31" s="291"/>
      <c r="AR31" s="291"/>
      <c r="AS31" s="291"/>
      <c r="AT31" s="291"/>
      <c r="AU31" s="291"/>
      <c r="AV31" s="291"/>
      <c r="AW31" s="291"/>
      <c r="AX31" s="291"/>
      <c r="AY31" s="291"/>
      <c r="AZ31" s="291"/>
      <c r="BA31" s="291"/>
      <c r="BB31" s="291"/>
      <c r="BC31" s="291"/>
      <c r="BD31" s="291"/>
      <c r="BE31" s="291"/>
      <c r="BF31" s="294"/>
      <c r="BG31" s="156"/>
    </row>
    <row r="32" spans="3:59" ht="15" customHeight="1" x14ac:dyDescent="0.25">
      <c r="E32" s="265" t="s">
        <v>135</v>
      </c>
      <c r="F32" s="136" t="s">
        <v>147</v>
      </c>
      <c r="G32" s="151"/>
      <c r="H32" s="151"/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1"/>
      <c r="W32" s="151"/>
      <c r="X32" s="151"/>
      <c r="Y32" s="151"/>
      <c r="Z32" s="151"/>
      <c r="AA32" s="151"/>
      <c r="AB32" s="151"/>
      <c r="AC32" s="151"/>
      <c r="AD32" s="151"/>
      <c r="AE32" s="151"/>
      <c r="AF32" s="151"/>
      <c r="AG32" s="151"/>
      <c r="AH32" s="151"/>
      <c r="AI32" s="324"/>
      <c r="AJ32" s="324"/>
      <c r="AK32" s="342"/>
      <c r="AL32" s="327">
        <f>SUMIF(G32:AK32,"PE",G33:AK33)</f>
        <v>0</v>
      </c>
      <c r="AM32" s="330">
        <f>SUMIF(G32:AK32,"PE",G36:AK36)</f>
        <v>0</v>
      </c>
      <c r="AN32" s="333">
        <f>SUM(G37:AK37)</f>
        <v>0</v>
      </c>
      <c r="AO32" s="336">
        <f>SUM(G38:AK38)</f>
        <v>0</v>
      </c>
      <c r="AP32" s="295" t="str">
        <f t="shared" ref="AP32:BE60" si="1">IF(COUNTIF($G32:$AK32,AP$23)=0,"",COUNTIF($G32:$AK32,AP$23))</f>
        <v/>
      </c>
      <c r="AQ32" s="289" t="str">
        <f t="shared" si="1"/>
        <v/>
      </c>
      <c r="AR32" s="289" t="str">
        <f t="shared" si="1"/>
        <v/>
      </c>
      <c r="AS32" s="289" t="str">
        <f t="shared" si="1"/>
        <v/>
      </c>
      <c r="AT32" s="289" t="str">
        <f t="shared" si="1"/>
        <v/>
      </c>
      <c r="AU32" s="289" t="str">
        <f t="shared" si="1"/>
        <v/>
      </c>
      <c r="AV32" s="289" t="str">
        <f t="shared" si="1"/>
        <v/>
      </c>
      <c r="AW32" s="289" t="str">
        <f t="shared" si="1"/>
        <v/>
      </c>
      <c r="AX32" s="289" t="str">
        <f t="shared" si="1"/>
        <v/>
      </c>
      <c r="AY32" s="289" t="str">
        <f t="shared" si="1"/>
        <v/>
      </c>
      <c r="AZ32" s="289" t="str">
        <f t="shared" si="1"/>
        <v/>
      </c>
      <c r="BA32" s="289" t="str">
        <f t="shared" si="1"/>
        <v/>
      </c>
      <c r="BB32" s="289" t="str">
        <f t="shared" si="1"/>
        <v/>
      </c>
      <c r="BC32" s="289" t="str">
        <f t="shared" si="1"/>
        <v/>
      </c>
      <c r="BD32" s="289" t="str">
        <f t="shared" si="1"/>
        <v/>
      </c>
      <c r="BE32" s="289" t="str">
        <f t="shared" si="1"/>
        <v/>
      </c>
      <c r="BF32" s="292" t="str">
        <f t="shared" ref="BF32" si="2">IF(COUNTIF($G32:$AK32,BF$23)=0,"",COUNTIF($G32:$AK32,BF$23))</f>
        <v/>
      </c>
      <c r="BG32" s="156"/>
    </row>
    <row r="33" spans="5:59" ht="21" x14ac:dyDescent="0.25">
      <c r="E33" s="266"/>
      <c r="F33" s="133" t="s">
        <v>152</v>
      </c>
      <c r="G33" s="147"/>
      <c r="H33" s="147"/>
      <c r="I33" s="147"/>
      <c r="J33" s="147"/>
      <c r="K33" s="147"/>
      <c r="L33" s="147"/>
      <c r="M33" s="147"/>
      <c r="N33" s="147"/>
      <c r="O33" s="147"/>
      <c r="P33" s="147"/>
      <c r="Q33" s="147"/>
      <c r="R33" s="147"/>
      <c r="S33" s="147"/>
      <c r="T33" s="147"/>
      <c r="U33" s="147"/>
      <c r="V33" s="147"/>
      <c r="W33" s="147"/>
      <c r="X33" s="147"/>
      <c r="Y33" s="147"/>
      <c r="Z33" s="147"/>
      <c r="AA33" s="147"/>
      <c r="AB33" s="147"/>
      <c r="AC33" s="147"/>
      <c r="AD33" s="147"/>
      <c r="AE33" s="147"/>
      <c r="AF33" s="147"/>
      <c r="AG33" s="147"/>
      <c r="AH33" s="147"/>
      <c r="AI33" s="325"/>
      <c r="AJ33" s="325"/>
      <c r="AK33" s="343"/>
      <c r="AL33" s="328"/>
      <c r="AM33" s="331"/>
      <c r="AN33" s="334"/>
      <c r="AO33" s="337"/>
      <c r="AP33" s="296"/>
      <c r="AQ33" s="290"/>
      <c r="AR33" s="290"/>
      <c r="AS33" s="290"/>
      <c r="AT33" s="290"/>
      <c r="AU33" s="290"/>
      <c r="AV33" s="290"/>
      <c r="AW33" s="290"/>
      <c r="AX33" s="290"/>
      <c r="AY33" s="290"/>
      <c r="AZ33" s="290"/>
      <c r="BA33" s="290"/>
      <c r="BB33" s="290"/>
      <c r="BC33" s="290"/>
      <c r="BD33" s="290"/>
      <c r="BE33" s="290"/>
      <c r="BF33" s="293"/>
      <c r="BG33" s="156"/>
    </row>
    <row r="34" spans="5:59" ht="15" customHeight="1" x14ac:dyDescent="0.25">
      <c r="E34" s="266"/>
      <c r="F34" s="134" t="s">
        <v>146</v>
      </c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147"/>
      <c r="R34" s="147"/>
      <c r="S34" s="147"/>
      <c r="T34" s="147"/>
      <c r="U34" s="147"/>
      <c r="V34" s="147"/>
      <c r="W34" s="147"/>
      <c r="X34" s="147"/>
      <c r="Y34" s="147"/>
      <c r="Z34" s="147"/>
      <c r="AA34" s="147"/>
      <c r="AB34" s="147"/>
      <c r="AC34" s="147"/>
      <c r="AD34" s="147"/>
      <c r="AE34" s="147"/>
      <c r="AF34" s="147"/>
      <c r="AG34" s="147"/>
      <c r="AH34" s="147"/>
      <c r="AI34" s="325"/>
      <c r="AJ34" s="325"/>
      <c r="AK34" s="343"/>
      <c r="AL34" s="328"/>
      <c r="AM34" s="331"/>
      <c r="AN34" s="334"/>
      <c r="AO34" s="337"/>
      <c r="AP34" s="296"/>
      <c r="AQ34" s="290"/>
      <c r="AR34" s="290"/>
      <c r="AS34" s="290"/>
      <c r="AT34" s="290"/>
      <c r="AU34" s="290"/>
      <c r="AV34" s="290"/>
      <c r="AW34" s="290"/>
      <c r="AX34" s="290"/>
      <c r="AY34" s="290"/>
      <c r="AZ34" s="290"/>
      <c r="BA34" s="290"/>
      <c r="BB34" s="290"/>
      <c r="BC34" s="290"/>
      <c r="BD34" s="290"/>
      <c r="BE34" s="290"/>
      <c r="BF34" s="293"/>
      <c r="BG34" s="156"/>
    </row>
    <row r="35" spans="5:59" ht="15" customHeight="1" x14ac:dyDescent="0.25">
      <c r="E35" s="266"/>
      <c r="F35" s="134" t="s">
        <v>150</v>
      </c>
      <c r="G35" s="147"/>
      <c r="H35" s="147"/>
      <c r="I35" s="147"/>
      <c r="J35" s="147"/>
      <c r="K35" s="147"/>
      <c r="L35" s="147"/>
      <c r="M35" s="147"/>
      <c r="N35" s="147"/>
      <c r="O35" s="147"/>
      <c r="P35" s="147"/>
      <c r="Q35" s="147"/>
      <c r="R35" s="147"/>
      <c r="S35" s="147"/>
      <c r="T35" s="147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325"/>
      <c r="AJ35" s="325"/>
      <c r="AK35" s="343"/>
      <c r="AL35" s="328"/>
      <c r="AM35" s="331"/>
      <c r="AN35" s="334"/>
      <c r="AO35" s="337"/>
      <c r="AP35" s="296"/>
      <c r="AQ35" s="290"/>
      <c r="AR35" s="290"/>
      <c r="AS35" s="290"/>
      <c r="AT35" s="290"/>
      <c r="AU35" s="290"/>
      <c r="AV35" s="290"/>
      <c r="AW35" s="290"/>
      <c r="AX35" s="290"/>
      <c r="AY35" s="290"/>
      <c r="AZ35" s="290"/>
      <c r="BA35" s="290"/>
      <c r="BB35" s="290"/>
      <c r="BC35" s="290"/>
      <c r="BD35" s="290"/>
      <c r="BE35" s="290"/>
      <c r="BF35" s="293"/>
      <c r="BG35" s="156"/>
    </row>
    <row r="36" spans="5:59" ht="15" customHeight="1" x14ac:dyDescent="0.25">
      <c r="E36" s="266"/>
      <c r="F36" s="134" t="s">
        <v>68</v>
      </c>
      <c r="G36" s="147"/>
      <c r="H36" s="147"/>
      <c r="I36" s="147"/>
      <c r="J36" s="147"/>
      <c r="K36" s="147"/>
      <c r="L36" s="147"/>
      <c r="M36" s="147"/>
      <c r="N36" s="147"/>
      <c r="O36" s="147"/>
      <c r="P36" s="147"/>
      <c r="Q36" s="147"/>
      <c r="R36" s="147"/>
      <c r="S36" s="147"/>
      <c r="T36" s="147"/>
      <c r="U36" s="147"/>
      <c r="V36" s="147"/>
      <c r="W36" s="147"/>
      <c r="X36" s="147"/>
      <c r="Y36" s="147"/>
      <c r="Z36" s="147"/>
      <c r="AA36" s="147"/>
      <c r="AB36" s="147"/>
      <c r="AC36" s="147"/>
      <c r="AD36" s="147"/>
      <c r="AE36" s="147"/>
      <c r="AF36" s="147"/>
      <c r="AG36" s="147"/>
      <c r="AH36" s="147"/>
      <c r="AI36" s="325"/>
      <c r="AJ36" s="325"/>
      <c r="AK36" s="343"/>
      <c r="AL36" s="328"/>
      <c r="AM36" s="331"/>
      <c r="AN36" s="334"/>
      <c r="AO36" s="337"/>
      <c r="AP36" s="296"/>
      <c r="AQ36" s="290"/>
      <c r="AR36" s="290"/>
      <c r="AS36" s="290"/>
      <c r="AT36" s="290"/>
      <c r="AU36" s="290"/>
      <c r="AV36" s="290"/>
      <c r="AW36" s="290"/>
      <c r="AX36" s="290"/>
      <c r="AY36" s="290"/>
      <c r="AZ36" s="290"/>
      <c r="BA36" s="290"/>
      <c r="BB36" s="290"/>
      <c r="BC36" s="290"/>
      <c r="BD36" s="290"/>
      <c r="BE36" s="290"/>
      <c r="BF36" s="293"/>
      <c r="BG36" s="156"/>
    </row>
    <row r="37" spans="5:59" ht="15" customHeight="1" x14ac:dyDescent="0.25">
      <c r="E37" s="266"/>
      <c r="F37" s="135" t="s">
        <v>148</v>
      </c>
      <c r="G37" s="147"/>
      <c r="H37" s="147"/>
      <c r="I37" s="147"/>
      <c r="J37" s="147"/>
      <c r="K37" s="147"/>
      <c r="L37" s="147"/>
      <c r="M37" s="147"/>
      <c r="N37" s="147"/>
      <c r="O37" s="147"/>
      <c r="P37" s="147"/>
      <c r="Q37" s="147"/>
      <c r="R37" s="147"/>
      <c r="S37" s="147"/>
      <c r="T37" s="147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  <c r="AF37" s="147"/>
      <c r="AG37" s="147"/>
      <c r="AH37" s="147"/>
      <c r="AI37" s="325"/>
      <c r="AJ37" s="325"/>
      <c r="AK37" s="343"/>
      <c r="AL37" s="328"/>
      <c r="AM37" s="331"/>
      <c r="AN37" s="334"/>
      <c r="AO37" s="337"/>
      <c r="AP37" s="296"/>
      <c r="AQ37" s="290"/>
      <c r="AR37" s="290"/>
      <c r="AS37" s="290"/>
      <c r="AT37" s="290"/>
      <c r="AU37" s="290"/>
      <c r="AV37" s="290"/>
      <c r="AW37" s="290"/>
      <c r="AX37" s="290"/>
      <c r="AY37" s="290"/>
      <c r="AZ37" s="290"/>
      <c r="BA37" s="290"/>
      <c r="BB37" s="290"/>
      <c r="BC37" s="290"/>
      <c r="BD37" s="290"/>
      <c r="BE37" s="290"/>
      <c r="BF37" s="293"/>
      <c r="BG37" s="156"/>
    </row>
    <row r="38" spans="5:59" ht="15.75" customHeight="1" thickBot="1" x14ac:dyDescent="0.3">
      <c r="E38" s="267"/>
      <c r="F38" s="139" t="s">
        <v>149</v>
      </c>
      <c r="G38" s="149"/>
      <c r="H38" s="149"/>
      <c r="I38" s="153"/>
      <c r="J38" s="149"/>
      <c r="K38" s="149"/>
      <c r="L38" s="149"/>
      <c r="M38" s="149"/>
      <c r="N38" s="149"/>
      <c r="O38" s="149"/>
      <c r="P38" s="149"/>
      <c r="Q38" s="149"/>
      <c r="R38" s="149"/>
      <c r="S38" s="149"/>
      <c r="T38" s="149"/>
      <c r="U38" s="149"/>
      <c r="V38" s="149"/>
      <c r="W38" s="149"/>
      <c r="X38" s="149"/>
      <c r="Y38" s="149"/>
      <c r="Z38" s="149"/>
      <c r="AA38" s="149"/>
      <c r="AB38" s="149"/>
      <c r="AC38" s="149"/>
      <c r="AD38" s="149"/>
      <c r="AE38" s="149"/>
      <c r="AF38" s="149"/>
      <c r="AG38" s="149"/>
      <c r="AH38" s="149"/>
      <c r="AI38" s="326"/>
      <c r="AJ38" s="326"/>
      <c r="AK38" s="344"/>
      <c r="AL38" s="329"/>
      <c r="AM38" s="332"/>
      <c r="AN38" s="335"/>
      <c r="AO38" s="338"/>
      <c r="AP38" s="297"/>
      <c r="AQ38" s="291"/>
      <c r="AR38" s="291"/>
      <c r="AS38" s="291"/>
      <c r="AT38" s="291"/>
      <c r="AU38" s="291"/>
      <c r="AV38" s="291"/>
      <c r="AW38" s="291"/>
      <c r="AX38" s="291"/>
      <c r="AY38" s="291"/>
      <c r="AZ38" s="291"/>
      <c r="BA38" s="291"/>
      <c r="BB38" s="291"/>
      <c r="BC38" s="291"/>
      <c r="BD38" s="291"/>
      <c r="BE38" s="291"/>
      <c r="BF38" s="294"/>
      <c r="BG38" s="156"/>
    </row>
    <row r="39" spans="5:59" ht="15" customHeight="1" x14ac:dyDescent="0.25">
      <c r="E39" s="265" t="s">
        <v>137</v>
      </c>
      <c r="F39" s="136" t="s">
        <v>147</v>
      </c>
      <c r="G39" s="151"/>
      <c r="H39" s="151"/>
      <c r="I39" s="151"/>
      <c r="J39" s="151"/>
      <c r="K39" s="151"/>
      <c r="L39" s="151"/>
      <c r="M39" s="151"/>
      <c r="N39" s="151"/>
      <c r="O39" s="151"/>
      <c r="P39" s="151"/>
      <c r="Q39" s="151"/>
      <c r="R39" s="151"/>
      <c r="S39" s="151"/>
      <c r="T39" s="151"/>
      <c r="U39" s="151"/>
      <c r="V39" s="151"/>
      <c r="W39" s="151"/>
      <c r="X39" s="151"/>
      <c r="Y39" s="151"/>
      <c r="Z39" s="151"/>
      <c r="AA39" s="151"/>
      <c r="AB39" s="151"/>
      <c r="AC39" s="151"/>
      <c r="AD39" s="151"/>
      <c r="AE39" s="151"/>
      <c r="AF39" s="151"/>
      <c r="AG39" s="151"/>
      <c r="AH39" s="151"/>
      <c r="AI39" s="151"/>
      <c r="AJ39" s="151"/>
      <c r="AK39" s="154"/>
      <c r="AL39" s="327">
        <f>SUMIF(G39:AK39,"PE",G40:AK40)</f>
        <v>0</v>
      </c>
      <c r="AM39" s="330">
        <f>SUMIF(G39:AK39,"PE",G43:AK43)</f>
        <v>0</v>
      </c>
      <c r="AN39" s="333">
        <f>SUM(G44:AK44)</f>
        <v>0</v>
      </c>
      <c r="AO39" s="336">
        <f>SUM(G45:AK45)</f>
        <v>0</v>
      </c>
      <c r="AP39" s="295" t="str">
        <f t="shared" ref="AP39:AQ39" si="3">IF(COUNTIF($G39:$AK39,AP$23)=0,"",COUNTIF($G39:$AK39,AP$23))</f>
        <v/>
      </c>
      <c r="AQ39" s="289" t="str">
        <f t="shared" si="3"/>
        <v/>
      </c>
      <c r="AR39" s="289" t="str">
        <f t="shared" si="1"/>
        <v/>
      </c>
      <c r="AS39" s="289" t="str">
        <f t="shared" si="1"/>
        <v/>
      </c>
      <c r="AT39" s="289" t="str">
        <f t="shared" si="1"/>
        <v/>
      </c>
      <c r="AU39" s="289" t="str">
        <f t="shared" si="1"/>
        <v/>
      </c>
      <c r="AV39" s="289" t="str">
        <f t="shared" si="1"/>
        <v/>
      </c>
      <c r="AW39" s="289" t="str">
        <f t="shared" si="1"/>
        <v/>
      </c>
      <c r="AX39" s="289" t="str">
        <f t="shared" si="1"/>
        <v/>
      </c>
      <c r="AY39" s="289" t="str">
        <f t="shared" si="1"/>
        <v/>
      </c>
      <c r="AZ39" s="289" t="str">
        <f t="shared" si="1"/>
        <v/>
      </c>
      <c r="BA39" s="289" t="str">
        <f t="shared" si="1"/>
        <v/>
      </c>
      <c r="BB39" s="289" t="str">
        <f t="shared" si="1"/>
        <v/>
      </c>
      <c r="BC39" s="289" t="str">
        <f t="shared" si="1"/>
        <v/>
      </c>
      <c r="BD39" s="289" t="str">
        <f t="shared" si="1"/>
        <v/>
      </c>
      <c r="BE39" s="289" t="str">
        <f t="shared" si="1"/>
        <v/>
      </c>
      <c r="BF39" s="292" t="str">
        <f t="shared" ref="BF39" si="4">IF(COUNTIF($G39:$AK39,BF$23)=0,"",COUNTIF($G39:$AK39,BF$23))</f>
        <v/>
      </c>
      <c r="BG39" s="156"/>
    </row>
    <row r="40" spans="5:59" ht="21" x14ac:dyDescent="0.25">
      <c r="E40" s="266"/>
      <c r="F40" s="133" t="s">
        <v>152</v>
      </c>
      <c r="G40" s="147"/>
      <c r="H40" s="147"/>
      <c r="I40" s="147"/>
      <c r="J40" s="147"/>
      <c r="K40" s="147"/>
      <c r="L40" s="147"/>
      <c r="M40" s="147"/>
      <c r="N40" s="147"/>
      <c r="O40" s="147"/>
      <c r="P40" s="147"/>
      <c r="Q40" s="147"/>
      <c r="R40" s="147"/>
      <c r="S40" s="147"/>
      <c r="T40" s="147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  <c r="AF40" s="147"/>
      <c r="AG40" s="147"/>
      <c r="AH40" s="147"/>
      <c r="AI40" s="147"/>
      <c r="AJ40" s="147"/>
      <c r="AK40" s="148"/>
      <c r="AL40" s="328"/>
      <c r="AM40" s="331"/>
      <c r="AN40" s="334"/>
      <c r="AO40" s="337"/>
      <c r="AP40" s="296"/>
      <c r="AQ40" s="290"/>
      <c r="AR40" s="290"/>
      <c r="AS40" s="290"/>
      <c r="AT40" s="290"/>
      <c r="AU40" s="290"/>
      <c r="AV40" s="290"/>
      <c r="AW40" s="290"/>
      <c r="AX40" s="290"/>
      <c r="AY40" s="290"/>
      <c r="AZ40" s="290"/>
      <c r="BA40" s="290"/>
      <c r="BB40" s="290"/>
      <c r="BC40" s="290"/>
      <c r="BD40" s="290"/>
      <c r="BE40" s="290"/>
      <c r="BF40" s="293"/>
      <c r="BG40" s="156"/>
    </row>
    <row r="41" spans="5:59" ht="15" customHeight="1" x14ac:dyDescent="0.25">
      <c r="E41" s="266"/>
      <c r="F41" s="134" t="s">
        <v>146</v>
      </c>
      <c r="G41" s="147"/>
      <c r="H41" s="147"/>
      <c r="I41" s="147"/>
      <c r="J41" s="147"/>
      <c r="K41" s="147"/>
      <c r="L41" s="147"/>
      <c r="M41" s="147"/>
      <c r="N41" s="147"/>
      <c r="O41" s="147"/>
      <c r="P41" s="147"/>
      <c r="Q41" s="147"/>
      <c r="R41" s="147"/>
      <c r="S41" s="147"/>
      <c r="T41" s="147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  <c r="AF41" s="147"/>
      <c r="AG41" s="147"/>
      <c r="AH41" s="147"/>
      <c r="AI41" s="147"/>
      <c r="AJ41" s="147"/>
      <c r="AK41" s="148"/>
      <c r="AL41" s="328"/>
      <c r="AM41" s="331"/>
      <c r="AN41" s="334"/>
      <c r="AO41" s="337"/>
      <c r="AP41" s="296"/>
      <c r="AQ41" s="290"/>
      <c r="AR41" s="290"/>
      <c r="AS41" s="290"/>
      <c r="AT41" s="290"/>
      <c r="AU41" s="290"/>
      <c r="AV41" s="290"/>
      <c r="AW41" s="290"/>
      <c r="AX41" s="290"/>
      <c r="AY41" s="290"/>
      <c r="AZ41" s="290"/>
      <c r="BA41" s="290"/>
      <c r="BB41" s="290"/>
      <c r="BC41" s="290"/>
      <c r="BD41" s="290"/>
      <c r="BE41" s="290"/>
      <c r="BF41" s="293"/>
      <c r="BG41" s="156"/>
    </row>
    <row r="42" spans="5:59" ht="15" customHeight="1" x14ac:dyDescent="0.25">
      <c r="E42" s="266"/>
      <c r="F42" s="134" t="s">
        <v>150</v>
      </c>
      <c r="G42" s="147"/>
      <c r="H42" s="147"/>
      <c r="I42" s="147"/>
      <c r="J42" s="147"/>
      <c r="K42" s="147"/>
      <c r="L42" s="147"/>
      <c r="M42" s="147"/>
      <c r="N42" s="147"/>
      <c r="O42" s="147"/>
      <c r="P42" s="147"/>
      <c r="Q42" s="147"/>
      <c r="R42" s="147"/>
      <c r="S42" s="147"/>
      <c r="T42" s="147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  <c r="AH42" s="147"/>
      <c r="AI42" s="147"/>
      <c r="AJ42" s="147"/>
      <c r="AK42" s="148"/>
      <c r="AL42" s="328"/>
      <c r="AM42" s="331"/>
      <c r="AN42" s="334"/>
      <c r="AO42" s="337"/>
      <c r="AP42" s="296"/>
      <c r="AQ42" s="290"/>
      <c r="AR42" s="290"/>
      <c r="AS42" s="290"/>
      <c r="AT42" s="290"/>
      <c r="AU42" s="290"/>
      <c r="AV42" s="290"/>
      <c r="AW42" s="290"/>
      <c r="AX42" s="290"/>
      <c r="AY42" s="290"/>
      <c r="AZ42" s="290"/>
      <c r="BA42" s="290"/>
      <c r="BB42" s="290"/>
      <c r="BC42" s="290"/>
      <c r="BD42" s="290"/>
      <c r="BE42" s="290"/>
      <c r="BF42" s="293"/>
      <c r="BG42" s="156"/>
    </row>
    <row r="43" spans="5:59" ht="15" customHeight="1" x14ac:dyDescent="0.25">
      <c r="E43" s="266"/>
      <c r="F43" s="134" t="s">
        <v>68</v>
      </c>
      <c r="G43" s="147"/>
      <c r="H43" s="147"/>
      <c r="I43" s="147"/>
      <c r="J43" s="147"/>
      <c r="K43" s="147"/>
      <c r="L43" s="147"/>
      <c r="M43" s="147"/>
      <c r="N43" s="147"/>
      <c r="O43" s="147"/>
      <c r="P43" s="147"/>
      <c r="Q43" s="147"/>
      <c r="R43" s="147"/>
      <c r="S43" s="147"/>
      <c r="T43" s="147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7"/>
      <c r="AJ43" s="147"/>
      <c r="AK43" s="148"/>
      <c r="AL43" s="328"/>
      <c r="AM43" s="331"/>
      <c r="AN43" s="334"/>
      <c r="AO43" s="337"/>
      <c r="AP43" s="296"/>
      <c r="AQ43" s="290"/>
      <c r="AR43" s="290"/>
      <c r="AS43" s="290"/>
      <c r="AT43" s="290"/>
      <c r="AU43" s="290"/>
      <c r="AV43" s="290"/>
      <c r="AW43" s="290"/>
      <c r="AX43" s="290"/>
      <c r="AY43" s="290"/>
      <c r="AZ43" s="290"/>
      <c r="BA43" s="290"/>
      <c r="BB43" s="290"/>
      <c r="BC43" s="290"/>
      <c r="BD43" s="290"/>
      <c r="BE43" s="290"/>
      <c r="BF43" s="293"/>
      <c r="BG43" s="156"/>
    </row>
    <row r="44" spans="5:59" ht="15" customHeight="1" x14ac:dyDescent="0.25">
      <c r="E44" s="266"/>
      <c r="F44" s="135" t="s">
        <v>148</v>
      </c>
      <c r="G44" s="147"/>
      <c r="H44" s="147"/>
      <c r="I44" s="147"/>
      <c r="J44" s="147"/>
      <c r="K44" s="147"/>
      <c r="L44" s="147"/>
      <c r="M44" s="147"/>
      <c r="N44" s="147"/>
      <c r="O44" s="147"/>
      <c r="P44" s="147"/>
      <c r="Q44" s="147"/>
      <c r="R44" s="147"/>
      <c r="S44" s="147"/>
      <c r="T44" s="147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  <c r="AH44" s="147"/>
      <c r="AI44" s="147"/>
      <c r="AJ44" s="147"/>
      <c r="AK44" s="148"/>
      <c r="AL44" s="328"/>
      <c r="AM44" s="331"/>
      <c r="AN44" s="334"/>
      <c r="AO44" s="337"/>
      <c r="AP44" s="296"/>
      <c r="AQ44" s="290"/>
      <c r="AR44" s="290"/>
      <c r="AS44" s="290"/>
      <c r="AT44" s="290"/>
      <c r="AU44" s="290"/>
      <c r="AV44" s="290"/>
      <c r="AW44" s="290"/>
      <c r="AX44" s="290"/>
      <c r="AY44" s="290"/>
      <c r="AZ44" s="290"/>
      <c r="BA44" s="290"/>
      <c r="BB44" s="290"/>
      <c r="BC44" s="290"/>
      <c r="BD44" s="290"/>
      <c r="BE44" s="290"/>
      <c r="BF44" s="293"/>
      <c r="BG44" s="156"/>
    </row>
    <row r="45" spans="5:59" ht="15.75" customHeight="1" thickBot="1" x14ac:dyDescent="0.3">
      <c r="E45" s="267"/>
      <c r="F45" s="139" t="s">
        <v>149</v>
      </c>
      <c r="G45" s="149"/>
      <c r="H45" s="149"/>
      <c r="I45" s="149"/>
      <c r="J45" s="149"/>
      <c r="K45" s="149"/>
      <c r="L45" s="149"/>
      <c r="M45" s="149"/>
      <c r="N45" s="149"/>
      <c r="O45" s="149"/>
      <c r="P45" s="149"/>
      <c r="Q45" s="149"/>
      <c r="R45" s="149"/>
      <c r="S45" s="149"/>
      <c r="T45" s="149"/>
      <c r="U45" s="149"/>
      <c r="V45" s="149"/>
      <c r="W45" s="149"/>
      <c r="X45" s="149"/>
      <c r="Y45" s="149"/>
      <c r="Z45" s="149"/>
      <c r="AA45" s="149"/>
      <c r="AB45" s="149"/>
      <c r="AC45" s="149"/>
      <c r="AD45" s="149"/>
      <c r="AE45" s="149"/>
      <c r="AF45" s="149"/>
      <c r="AG45" s="149"/>
      <c r="AH45" s="149"/>
      <c r="AI45" s="149"/>
      <c r="AJ45" s="149"/>
      <c r="AK45" s="150"/>
      <c r="AL45" s="329"/>
      <c r="AM45" s="332"/>
      <c r="AN45" s="335"/>
      <c r="AO45" s="338"/>
      <c r="AP45" s="297"/>
      <c r="AQ45" s="291"/>
      <c r="AR45" s="291"/>
      <c r="AS45" s="291"/>
      <c r="AT45" s="291"/>
      <c r="AU45" s="291"/>
      <c r="AV45" s="291"/>
      <c r="AW45" s="291"/>
      <c r="AX45" s="291"/>
      <c r="AY45" s="291"/>
      <c r="AZ45" s="291"/>
      <c r="BA45" s="291"/>
      <c r="BB45" s="291"/>
      <c r="BC45" s="291"/>
      <c r="BD45" s="291"/>
      <c r="BE45" s="291"/>
      <c r="BF45" s="294"/>
      <c r="BG45" s="156"/>
    </row>
    <row r="46" spans="5:59" ht="15" customHeight="1" x14ac:dyDescent="0.25">
      <c r="E46" s="265" t="s">
        <v>136</v>
      </c>
      <c r="F46" s="136" t="s">
        <v>147</v>
      </c>
      <c r="G46" s="151"/>
      <c r="H46" s="151"/>
      <c r="I46" s="151"/>
      <c r="J46" s="151"/>
      <c r="K46" s="151"/>
      <c r="L46" s="151"/>
      <c r="M46" s="151"/>
      <c r="N46" s="151"/>
      <c r="O46" s="151"/>
      <c r="P46" s="151"/>
      <c r="Q46" s="151"/>
      <c r="R46" s="151"/>
      <c r="S46" s="151"/>
      <c r="T46" s="151"/>
      <c r="U46" s="151"/>
      <c r="V46" s="151"/>
      <c r="W46" s="151"/>
      <c r="X46" s="151"/>
      <c r="Y46" s="151"/>
      <c r="Z46" s="151"/>
      <c r="AA46" s="151"/>
      <c r="AB46" s="151"/>
      <c r="AC46" s="151"/>
      <c r="AD46" s="151"/>
      <c r="AE46" s="151"/>
      <c r="AF46" s="151"/>
      <c r="AG46" s="151"/>
      <c r="AH46" s="151"/>
      <c r="AI46" s="151"/>
      <c r="AJ46" s="151"/>
      <c r="AK46" s="339"/>
      <c r="AL46" s="327">
        <f t="shared" ref="AL46" si="5">SUMIF(G46:AK46,"PE",G47:AK47)</f>
        <v>0</v>
      </c>
      <c r="AM46" s="330">
        <f t="shared" ref="AM46" si="6">SUMIF(G46:AK46,"PE",G50:AK50)</f>
        <v>0</v>
      </c>
      <c r="AN46" s="333">
        <f t="shared" ref="AN46" si="7">SUM(G51:AK51)</f>
        <v>0</v>
      </c>
      <c r="AO46" s="336">
        <f t="shared" ref="AO46" si="8">SUM(G52:AK52)</f>
        <v>0</v>
      </c>
      <c r="AP46" s="295" t="str">
        <f t="shared" ref="AP46:AQ46" si="9">IF(COUNTIF($G46:$AK46,AP$23)=0,"",COUNTIF($G46:$AK46,AP$23))</f>
        <v/>
      </c>
      <c r="AQ46" s="289" t="str">
        <f t="shared" si="9"/>
        <v/>
      </c>
      <c r="AR46" s="289" t="str">
        <f t="shared" si="1"/>
        <v/>
      </c>
      <c r="AS46" s="289" t="str">
        <f t="shared" si="1"/>
        <v/>
      </c>
      <c r="AT46" s="289" t="str">
        <f t="shared" si="1"/>
        <v/>
      </c>
      <c r="AU46" s="289" t="str">
        <f t="shared" si="1"/>
        <v/>
      </c>
      <c r="AV46" s="289" t="str">
        <f t="shared" si="1"/>
        <v/>
      </c>
      <c r="AW46" s="289" t="str">
        <f t="shared" si="1"/>
        <v/>
      </c>
      <c r="AX46" s="289" t="str">
        <f t="shared" si="1"/>
        <v/>
      </c>
      <c r="AY46" s="289" t="str">
        <f t="shared" si="1"/>
        <v/>
      </c>
      <c r="AZ46" s="289" t="str">
        <f t="shared" si="1"/>
        <v/>
      </c>
      <c r="BA46" s="289" t="str">
        <f t="shared" si="1"/>
        <v/>
      </c>
      <c r="BB46" s="289" t="str">
        <f t="shared" si="1"/>
        <v/>
      </c>
      <c r="BC46" s="289" t="str">
        <f t="shared" si="1"/>
        <v/>
      </c>
      <c r="BD46" s="289" t="str">
        <f t="shared" si="1"/>
        <v/>
      </c>
      <c r="BE46" s="289" t="str">
        <f t="shared" si="1"/>
        <v/>
      </c>
      <c r="BF46" s="292" t="str">
        <f t="shared" ref="BF46" si="10">IF(COUNTIF($G46:$AK46,BF$23)=0,"",COUNTIF($G46:$AK46,BF$23))</f>
        <v/>
      </c>
      <c r="BG46" s="156"/>
    </row>
    <row r="47" spans="5:59" ht="21" x14ac:dyDescent="0.25">
      <c r="E47" s="266"/>
      <c r="F47" s="133" t="s">
        <v>152</v>
      </c>
      <c r="G47" s="147"/>
      <c r="H47" s="147"/>
      <c r="I47" s="147"/>
      <c r="J47" s="147"/>
      <c r="K47" s="147"/>
      <c r="L47" s="147"/>
      <c r="M47" s="147"/>
      <c r="N47" s="147"/>
      <c r="O47" s="147"/>
      <c r="P47" s="147"/>
      <c r="Q47" s="147"/>
      <c r="R47" s="147"/>
      <c r="S47" s="147"/>
      <c r="T47" s="147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7"/>
      <c r="AJ47" s="147"/>
      <c r="AK47" s="340"/>
      <c r="AL47" s="328"/>
      <c r="AM47" s="331"/>
      <c r="AN47" s="334"/>
      <c r="AO47" s="337"/>
      <c r="AP47" s="296"/>
      <c r="AQ47" s="290"/>
      <c r="AR47" s="290"/>
      <c r="AS47" s="290"/>
      <c r="AT47" s="290"/>
      <c r="AU47" s="290"/>
      <c r="AV47" s="290"/>
      <c r="AW47" s="290"/>
      <c r="AX47" s="290"/>
      <c r="AY47" s="290"/>
      <c r="AZ47" s="290"/>
      <c r="BA47" s="290"/>
      <c r="BB47" s="290"/>
      <c r="BC47" s="290"/>
      <c r="BD47" s="290"/>
      <c r="BE47" s="290"/>
      <c r="BF47" s="293"/>
      <c r="BG47" s="156"/>
    </row>
    <row r="48" spans="5:59" ht="15" customHeight="1" x14ac:dyDescent="0.25">
      <c r="E48" s="266"/>
      <c r="F48" s="134" t="s">
        <v>146</v>
      </c>
      <c r="G48" s="147"/>
      <c r="H48" s="147"/>
      <c r="I48" s="147"/>
      <c r="J48" s="147"/>
      <c r="K48" s="147"/>
      <c r="L48" s="147"/>
      <c r="M48" s="147"/>
      <c r="N48" s="147"/>
      <c r="O48" s="147"/>
      <c r="P48" s="147"/>
      <c r="Q48" s="147"/>
      <c r="R48" s="147"/>
      <c r="S48" s="147"/>
      <c r="T48" s="147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147"/>
      <c r="AK48" s="340"/>
      <c r="AL48" s="328"/>
      <c r="AM48" s="331"/>
      <c r="AN48" s="334"/>
      <c r="AO48" s="337"/>
      <c r="AP48" s="296"/>
      <c r="AQ48" s="290"/>
      <c r="AR48" s="290"/>
      <c r="AS48" s="290"/>
      <c r="AT48" s="290"/>
      <c r="AU48" s="290"/>
      <c r="AV48" s="290"/>
      <c r="AW48" s="290"/>
      <c r="AX48" s="290"/>
      <c r="AY48" s="290"/>
      <c r="AZ48" s="290"/>
      <c r="BA48" s="290"/>
      <c r="BB48" s="290"/>
      <c r="BC48" s="290"/>
      <c r="BD48" s="290"/>
      <c r="BE48" s="290"/>
      <c r="BF48" s="293"/>
      <c r="BG48" s="156"/>
    </row>
    <row r="49" spans="4:59" ht="15" customHeight="1" x14ac:dyDescent="0.25">
      <c r="E49" s="266"/>
      <c r="F49" s="134" t="s">
        <v>150</v>
      </c>
      <c r="G49" s="147"/>
      <c r="H49" s="147"/>
      <c r="I49" s="147"/>
      <c r="J49" s="147"/>
      <c r="K49" s="147"/>
      <c r="L49" s="147"/>
      <c r="M49" s="147"/>
      <c r="N49" s="147"/>
      <c r="O49" s="147"/>
      <c r="P49" s="147"/>
      <c r="Q49" s="147"/>
      <c r="R49" s="147"/>
      <c r="S49" s="147"/>
      <c r="T49" s="147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147"/>
      <c r="AK49" s="340"/>
      <c r="AL49" s="328"/>
      <c r="AM49" s="331"/>
      <c r="AN49" s="334"/>
      <c r="AO49" s="337"/>
      <c r="AP49" s="296"/>
      <c r="AQ49" s="290"/>
      <c r="AR49" s="290"/>
      <c r="AS49" s="290"/>
      <c r="AT49" s="290"/>
      <c r="AU49" s="290"/>
      <c r="AV49" s="290"/>
      <c r="AW49" s="290"/>
      <c r="AX49" s="290"/>
      <c r="AY49" s="290"/>
      <c r="AZ49" s="290"/>
      <c r="BA49" s="290"/>
      <c r="BB49" s="290"/>
      <c r="BC49" s="290"/>
      <c r="BD49" s="290"/>
      <c r="BE49" s="290"/>
      <c r="BF49" s="293"/>
      <c r="BG49" s="156"/>
    </row>
    <row r="50" spans="4:59" ht="15" customHeight="1" x14ac:dyDescent="0.25">
      <c r="E50" s="266"/>
      <c r="F50" s="134" t="s">
        <v>68</v>
      </c>
      <c r="G50" s="147"/>
      <c r="H50" s="147"/>
      <c r="I50" s="152"/>
      <c r="J50" s="147"/>
      <c r="K50" s="147"/>
      <c r="L50" s="147"/>
      <c r="M50" s="147"/>
      <c r="N50" s="147"/>
      <c r="O50" s="147"/>
      <c r="P50" s="147"/>
      <c r="Q50" s="147"/>
      <c r="R50" s="147"/>
      <c r="S50" s="147"/>
      <c r="T50" s="147"/>
      <c r="U50" s="147"/>
      <c r="V50" s="147"/>
      <c r="W50" s="147"/>
      <c r="X50" s="147"/>
      <c r="Y50" s="147"/>
      <c r="Z50" s="147"/>
      <c r="AA50" s="147"/>
      <c r="AB50" s="147"/>
      <c r="AC50" s="147"/>
      <c r="AD50" s="147"/>
      <c r="AE50" s="147"/>
      <c r="AF50" s="147"/>
      <c r="AG50" s="147"/>
      <c r="AH50" s="147"/>
      <c r="AI50" s="147"/>
      <c r="AJ50" s="147"/>
      <c r="AK50" s="340"/>
      <c r="AL50" s="328"/>
      <c r="AM50" s="331"/>
      <c r="AN50" s="334"/>
      <c r="AO50" s="337"/>
      <c r="AP50" s="296"/>
      <c r="AQ50" s="290"/>
      <c r="AR50" s="290"/>
      <c r="AS50" s="290"/>
      <c r="AT50" s="290"/>
      <c r="AU50" s="290"/>
      <c r="AV50" s="290"/>
      <c r="AW50" s="290"/>
      <c r="AX50" s="290"/>
      <c r="AY50" s="290"/>
      <c r="AZ50" s="290"/>
      <c r="BA50" s="290"/>
      <c r="BB50" s="290"/>
      <c r="BC50" s="290"/>
      <c r="BD50" s="290"/>
      <c r="BE50" s="290"/>
      <c r="BF50" s="293"/>
      <c r="BG50" s="156"/>
    </row>
    <row r="51" spans="4:59" ht="15" customHeight="1" x14ac:dyDescent="0.25">
      <c r="E51" s="266"/>
      <c r="F51" s="135" t="s">
        <v>148</v>
      </c>
      <c r="G51" s="147"/>
      <c r="H51" s="147"/>
      <c r="I51" s="147"/>
      <c r="J51" s="147"/>
      <c r="K51" s="147"/>
      <c r="L51" s="147"/>
      <c r="M51" s="147"/>
      <c r="N51" s="147"/>
      <c r="O51" s="147"/>
      <c r="P51" s="147"/>
      <c r="Q51" s="147"/>
      <c r="R51" s="147"/>
      <c r="S51" s="147"/>
      <c r="T51" s="147"/>
      <c r="U51" s="147"/>
      <c r="V51" s="147"/>
      <c r="W51" s="147"/>
      <c r="X51" s="147"/>
      <c r="Y51" s="147"/>
      <c r="Z51" s="147"/>
      <c r="AA51" s="147"/>
      <c r="AB51" s="147"/>
      <c r="AC51" s="147"/>
      <c r="AD51" s="147"/>
      <c r="AE51" s="147"/>
      <c r="AF51" s="147"/>
      <c r="AG51" s="147"/>
      <c r="AH51" s="147"/>
      <c r="AI51" s="147"/>
      <c r="AJ51" s="147"/>
      <c r="AK51" s="340"/>
      <c r="AL51" s="328"/>
      <c r="AM51" s="331"/>
      <c r="AN51" s="334"/>
      <c r="AO51" s="337"/>
      <c r="AP51" s="296"/>
      <c r="AQ51" s="290"/>
      <c r="AR51" s="290"/>
      <c r="AS51" s="290"/>
      <c r="AT51" s="290"/>
      <c r="AU51" s="290"/>
      <c r="AV51" s="290"/>
      <c r="AW51" s="290"/>
      <c r="AX51" s="290"/>
      <c r="AY51" s="290"/>
      <c r="AZ51" s="290"/>
      <c r="BA51" s="290"/>
      <c r="BB51" s="290"/>
      <c r="BC51" s="290"/>
      <c r="BD51" s="290"/>
      <c r="BE51" s="290"/>
      <c r="BF51" s="293"/>
      <c r="BG51" s="156"/>
    </row>
    <row r="52" spans="4:59" ht="15.75" customHeight="1" thickBot="1" x14ac:dyDescent="0.3">
      <c r="E52" s="266"/>
      <c r="F52" s="140" t="s">
        <v>149</v>
      </c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  <c r="AH52" s="153"/>
      <c r="AI52" s="153"/>
      <c r="AJ52" s="153"/>
      <c r="AK52" s="340"/>
      <c r="AL52" s="329"/>
      <c r="AM52" s="332"/>
      <c r="AN52" s="335"/>
      <c r="AO52" s="338"/>
      <c r="AP52" s="297"/>
      <c r="AQ52" s="291"/>
      <c r="AR52" s="291"/>
      <c r="AS52" s="291"/>
      <c r="AT52" s="291"/>
      <c r="AU52" s="291"/>
      <c r="AV52" s="291"/>
      <c r="AW52" s="291"/>
      <c r="AX52" s="291"/>
      <c r="AY52" s="291"/>
      <c r="AZ52" s="291"/>
      <c r="BA52" s="291"/>
      <c r="BB52" s="291"/>
      <c r="BC52" s="291"/>
      <c r="BD52" s="291"/>
      <c r="BE52" s="291"/>
      <c r="BF52" s="294"/>
      <c r="BG52" s="156"/>
    </row>
    <row r="53" spans="4:59" ht="15" customHeight="1" x14ac:dyDescent="0.25">
      <c r="D53" s="123"/>
      <c r="E53" s="285" t="s">
        <v>138</v>
      </c>
      <c r="F53" s="160" t="s">
        <v>147</v>
      </c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  <c r="AB53" s="161"/>
      <c r="AC53" s="161"/>
      <c r="AD53" s="161"/>
      <c r="AE53" s="161"/>
      <c r="AF53" s="161"/>
      <c r="AG53" s="161"/>
      <c r="AH53" s="161"/>
      <c r="AI53" s="161"/>
      <c r="AJ53" s="161"/>
      <c r="AK53" s="162"/>
      <c r="AL53" s="327">
        <f t="shared" ref="AL53" si="11">SUMIF(G53:AK53,"PE",G54:AK54)</f>
        <v>0</v>
      </c>
      <c r="AM53" s="330">
        <f t="shared" ref="AM53" si="12">SUMIF(G53:AK53,"PE",G57:AK57)</f>
        <v>0</v>
      </c>
      <c r="AN53" s="333">
        <f t="shared" ref="AN53" si="13">SUM(G58:AK58)</f>
        <v>0</v>
      </c>
      <c r="AO53" s="336">
        <f t="shared" ref="AO53" si="14">SUM(G59:AK59)</f>
        <v>0</v>
      </c>
      <c r="AP53" s="295" t="str">
        <f t="shared" ref="AP53:AQ53" si="15">IF(COUNTIF($G53:$AK53,AP$23)=0,"",COUNTIF($G53:$AK53,AP$23))</f>
        <v/>
      </c>
      <c r="AQ53" s="289" t="str">
        <f t="shared" si="15"/>
        <v/>
      </c>
      <c r="AR53" s="289" t="str">
        <f t="shared" si="1"/>
        <v/>
      </c>
      <c r="AS53" s="289" t="str">
        <f t="shared" si="1"/>
        <v/>
      </c>
      <c r="AT53" s="289" t="str">
        <f t="shared" si="1"/>
        <v/>
      </c>
      <c r="AU53" s="289" t="str">
        <f t="shared" si="1"/>
        <v/>
      </c>
      <c r="AV53" s="289" t="str">
        <f t="shared" si="1"/>
        <v/>
      </c>
      <c r="AW53" s="289" t="str">
        <f t="shared" si="1"/>
        <v/>
      </c>
      <c r="AX53" s="289" t="str">
        <f t="shared" si="1"/>
        <v/>
      </c>
      <c r="AY53" s="289" t="str">
        <f t="shared" si="1"/>
        <v/>
      </c>
      <c r="AZ53" s="289" t="str">
        <f t="shared" si="1"/>
        <v/>
      </c>
      <c r="BA53" s="289" t="str">
        <f t="shared" si="1"/>
        <v/>
      </c>
      <c r="BB53" s="289" t="str">
        <f t="shared" si="1"/>
        <v/>
      </c>
      <c r="BC53" s="289" t="str">
        <f t="shared" si="1"/>
        <v/>
      </c>
      <c r="BD53" s="289" t="str">
        <f t="shared" si="1"/>
        <v/>
      </c>
      <c r="BE53" s="289" t="str">
        <f t="shared" si="1"/>
        <v/>
      </c>
      <c r="BF53" s="292" t="str">
        <f t="shared" ref="BF53" si="16">IF(COUNTIF($G53:$AK53,BF$23)=0,"",COUNTIF($G53:$AK53,BF$23))</f>
        <v/>
      </c>
      <c r="BG53" s="156"/>
    </row>
    <row r="54" spans="4:59" ht="21" x14ac:dyDescent="0.25">
      <c r="D54" s="123"/>
      <c r="E54" s="286"/>
      <c r="F54" s="133" t="s">
        <v>152</v>
      </c>
      <c r="G54" s="147"/>
      <c r="H54" s="147"/>
      <c r="I54" s="147"/>
      <c r="J54" s="147"/>
      <c r="K54" s="147"/>
      <c r="L54" s="147"/>
      <c r="M54" s="147"/>
      <c r="N54" s="147"/>
      <c r="O54" s="147"/>
      <c r="P54" s="147"/>
      <c r="Q54" s="147"/>
      <c r="R54" s="147"/>
      <c r="S54" s="147"/>
      <c r="T54" s="147"/>
      <c r="U54" s="147"/>
      <c r="V54" s="147"/>
      <c r="W54" s="147"/>
      <c r="X54" s="147"/>
      <c r="Y54" s="147"/>
      <c r="Z54" s="147"/>
      <c r="AA54" s="147"/>
      <c r="AB54" s="147"/>
      <c r="AC54" s="147"/>
      <c r="AD54" s="147"/>
      <c r="AE54" s="147"/>
      <c r="AF54" s="147"/>
      <c r="AG54" s="147"/>
      <c r="AH54" s="147"/>
      <c r="AI54" s="147"/>
      <c r="AJ54" s="147"/>
      <c r="AK54" s="148"/>
      <c r="AL54" s="328"/>
      <c r="AM54" s="331"/>
      <c r="AN54" s="334"/>
      <c r="AO54" s="337"/>
      <c r="AP54" s="296"/>
      <c r="AQ54" s="290"/>
      <c r="AR54" s="290"/>
      <c r="AS54" s="290"/>
      <c r="AT54" s="290"/>
      <c r="AU54" s="290"/>
      <c r="AV54" s="290"/>
      <c r="AW54" s="290"/>
      <c r="AX54" s="290"/>
      <c r="AY54" s="290"/>
      <c r="AZ54" s="290"/>
      <c r="BA54" s="290"/>
      <c r="BB54" s="290"/>
      <c r="BC54" s="290"/>
      <c r="BD54" s="290"/>
      <c r="BE54" s="290"/>
      <c r="BF54" s="293"/>
      <c r="BG54" s="156"/>
    </row>
    <row r="55" spans="4:59" ht="15" customHeight="1" x14ac:dyDescent="0.25">
      <c r="D55" s="123"/>
      <c r="E55" s="286"/>
      <c r="F55" s="134" t="s">
        <v>146</v>
      </c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  <c r="AC55" s="147"/>
      <c r="AD55" s="147"/>
      <c r="AE55" s="147"/>
      <c r="AF55" s="147"/>
      <c r="AG55" s="147"/>
      <c r="AH55" s="147"/>
      <c r="AI55" s="147"/>
      <c r="AJ55" s="147"/>
      <c r="AK55" s="148"/>
      <c r="AL55" s="328"/>
      <c r="AM55" s="331"/>
      <c r="AN55" s="334"/>
      <c r="AO55" s="337"/>
      <c r="AP55" s="296"/>
      <c r="AQ55" s="290"/>
      <c r="AR55" s="290"/>
      <c r="AS55" s="290"/>
      <c r="AT55" s="290"/>
      <c r="AU55" s="290"/>
      <c r="AV55" s="290"/>
      <c r="AW55" s="290"/>
      <c r="AX55" s="290"/>
      <c r="AY55" s="290"/>
      <c r="AZ55" s="290"/>
      <c r="BA55" s="290"/>
      <c r="BB55" s="290"/>
      <c r="BC55" s="290"/>
      <c r="BD55" s="290"/>
      <c r="BE55" s="290"/>
      <c r="BF55" s="293"/>
      <c r="BG55" s="156"/>
    </row>
    <row r="56" spans="4:59" ht="15" customHeight="1" x14ac:dyDescent="0.25">
      <c r="D56" s="123"/>
      <c r="E56" s="286"/>
      <c r="F56" s="134" t="s">
        <v>150</v>
      </c>
      <c r="G56" s="147"/>
      <c r="H56" s="147"/>
      <c r="I56" s="147"/>
      <c r="J56" s="147"/>
      <c r="K56" s="147"/>
      <c r="L56" s="147"/>
      <c r="M56" s="147"/>
      <c r="N56" s="147"/>
      <c r="O56" s="147"/>
      <c r="P56" s="147"/>
      <c r="Q56" s="147"/>
      <c r="R56" s="147"/>
      <c r="S56" s="147"/>
      <c r="T56" s="147"/>
      <c r="U56" s="147"/>
      <c r="V56" s="147"/>
      <c r="W56" s="147"/>
      <c r="X56" s="147"/>
      <c r="Y56" s="147"/>
      <c r="Z56" s="147"/>
      <c r="AA56" s="147"/>
      <c r="AB56" s="147"/>
      <c r="AC56" s="147"/>
      <c r="AD56" s="147"/>
      <c r="AE56" s="147"/>
      <c r="AF56" s="147"/>
      <c r="AG56" s="147"/>
      <c r="AH56" s="147"/>
      <c r="AI56" s="147"/>
      <c r="AJ56" s="147"/>
      <c r="AK56" s="148"/>
      <c r="AL56" s="328"/>
      <c r="AM56" s="331"/>
      <c r="AN56" s="334"/>
      <c r="AO56" s="337"/>
      <c r="AP56" s="296"/>
      <c r="AQ56" s="290"/>
      <c r="AR56" s="290"/>
      <c r="AS56" s="290"/>
      <c r="AT56" s="290"/>
      <c r="AU56" s="290"/>
      <c r="AV56" s="290"/>
      <c r="AW56" s="290"/>
      <c r="AX56" s="290"/>
      <c r="AY56" s="290"/>
      <c r="AZ56" s="290"/>
      <c r="BA56" s="290"/>
      <c r="BB56" s="290"/>
      <c r="BC56" s="290"/>
      <c r="BD56" s="290"/>
      <c r="BE56" s="290"/>
      <c r="BF56" s="293"/>
      <c r="BG56" s="156"/>
    </row>
    <row r="57" spans="4:59" ht="15" customHeight="1" x14ac:dyDescent="0.25">
      <c r="D57" s="123"/>
      <c r="E57" s="286"/>
      <c r="F57" s="134" t="s">
        <v>68</v>
      </c>
      <c r="G57" s="147"/>
      <c r="H57" s="147"/>
      <c r="I57" s="147"/>
      <c r="J57" s="147"/>
      <c r="K57" s="147"/>
      <c r="L57" s="147"/>
      <c r="M57" s="147"/>
      <c r="N57" s="147"/>
      <c r="O57" s="147"/>
      <c r="P57" s="147"/>
      <c r="Q57" s="147"/>
      <c r="R57" s="147"/>
      <c r="S57" s="147"/>
      <c r="T57" s="147"/>
      <c r="U57" s="147"/>
      <c r="V57" s="147"/>
      <c r="W57" s="147"/>
      <c r="X57" s="147"/>
      <c r="Y57" s="147"/>
      <c r="Z57" s="147"/>
      <c r="AA57" s="147"/>
      <c r="AB57" s="147"/>
      <c r="AC57" s="147"/>
      <c r="AD57" s="147"/>
      <c r="AE57" s="147"/>
      <c r="AF57" s="147"/>
      <c r="AG57" s="147"/>
      <c r="AH57" s="147"/>
      <c r="AI57" s="147"/>
      <c r="AJ57" s="147"/>
      <c r="AK57" s="148"/>
      <c r="AL57" s="328"/>
      <c r="AM57" s="331"/>
      <c r="AN57" s="334"/>
      <c r="AO57" s="337"/>
      <c r="AP57" s="296"/>
      <c r="AQ57" s="290"/>
      <c r="AR57" s="290"/>
      <c r="AS57" s="290"/>
      <c r="AT57" s="290"/>
      <c r="AU57" s="290"/>
      <c r="AV57" s="290"/>
      <c r="AW57" s="290"/>
      <c r="AX57" s="290"/>
      <c r="AY57" s="290"/>
      <c r="AZ57" s="290"/>
      <c r="BA57" s="290"/>
      <c r="BB57" s="290"/>
      <c r="BC57" s="290"/>
      <c r="BD57" s="290"/>
      <c r="BE57" s="290"/>
      <c r="BF57" s="293"/>
      <c r="BG57" s="156"/>
    </row>
    <row r="58" spans="4:59" ht="15" customHeight="1" x14ac:dyDescent="0.25">
      <c r="D58" s="123"/>
      <c r="E58" s="286"/>
      <c r="F58" s="135" t="s">
        <v>148</v>
      </c>
      <c r="G58" s="147"/>
      <c r="H58" s="147"/>
      <c r="I58" s="147"/>
      <c r="J58" s="147"/>
      <c r="K58" s="147"/>
      <c r="L58" s="147"/>
      <c r="M58" s="147"/>
      <c r="N58" s="147"/>
      <c r="O58" s="147"/>
      <c r="P58" s="147"/>
      <c r="Q58" s="147"/>
      <c r="R58" s="147"/>
      <c r="S58" s="147"/>
      <c r="T58" s="147"/>
      <c r="U58" s="147"/>
      <c r="V58" s="147"/>
      <c r="W58" s="147"/>
      <c r="X58" s="147"/>
      <c r="Y58" s="147"/>
      <c r="Z58" s="147"/>
      <c r="AA58" s="147"/>
      <c r="AB58" s="147"/>
      <c r="AC58" s="147"/>
      <c r="AD58" s="147"/>
      <c r="AE58" s="147"/>
      <c r="AF58" s="147"/>
      <c r="AG58" s="147"/>
      <c r="AH58" s="147"/>
      <c r="AI58" s="147"/>
      <c r="AJ58" s="147"/>
      <c r="AK58" s="148"/>
      <c r="AL58" s="328"/>
      <c r="AM58" s="331"/>
      <c r="AN58" s="334"/>
      <c r="AO58" s="337"/>
      <c r="AP58" s="296"/>
      <c r="AQ58" s="290"/>
      <c r="AR58" s="290"/>
      <c r="AS58" s="290"/>
      <c r="AT58" s="290"/>
      <c r="AU58" s="290"/>
      <c r="AV58" s="290"/>
      <c r="AW58" s="290"/>
      <c r="AX58" s="290"/>
      <c r="AY58" s="290"/>
      <c r="AZ58" s="290"/>
      <c r="BA58" s="290"/>
      <c r="BB58" s="290"/>
      <c r="BC58" s="290"/>
      <c r="BD58" s="290"/>
      <c r="BE58" s="290"/>
      <c r="BF58" s="293"/>
      <c r="BG58" s="156"/>
    </row>
    <row r="59" spans="4:59" ht="15.75" customHeight="1" thickBot="1" x14ac:dyDescent="0.3">
      <c r="D59" s="123"/>
      <c r="E59" s="287"/>
      <c r="F59" s="139" t="s">
        <v>149</v>
      </c>
      <c r="G59" s="149"/>
      <c r="H59" s="149"/>
      <c r="I59" s="149"/>
      <c r="J59" s="149"/>
      <c r="K59" s="149"/>
      <c r="L59" s="149"/>
      <c r="M59" s="149"/>
      <c r="N59" s="149"/>
      <c r="O59" s="149"/>
      <c r="P59" s="149"/>
      <c r="Q59" s="149"/>
      <c r="R59" s="149"/>
      <c r="S59" s="149"/>
      <c r="T59" s="149"/>
      <c r="U59" s="149"/>
      <c r="V59" s="149"/>
      <c r="W59" s="149"/>
      <c r="X59" s="149"/>
      <c r="Y59" s="149"/>
      <c r="Z59" s="149"/>
      <c r="AA59" s="149"/>
      <c r="AB59" s="149"/>
      <c r="AC59" s="149"/>
      <c r="AD59" s="149"/>
      <c r="AE59" s="149"/>
      <c r="AF59" s="149"/>
      <c r="AG59" s="149"/>
      <c r="AH59" s="149"/>
      <c r="AI59" s="149"/>
      <c r="AJ59" s="149"/>
      <c r="AK59" s="150"/>
      <c r="AL59" s="329"/>
      <c r="AM59" s="332"/>
      <c r="AN59" s="335"/>
      <c r="AO59" s="338"/>
      <c r="AP59" s="297"/>
      <c r="AQ59" s="291"/>
      <c r="AR59" s="291"/>
      <c r="AS59" s="291"/>
      <c r="AT59" s="291"/>
      <c r="AU59" s="291"/>
      <c r="AV59" s="291"/>
      <c r="AW59" s="291"/>
      <c r="AX59" s="291"/>
      <c r="AY59" s="291"/>
      <c r="AZ59" s="291"/>
      <c r="BA59" s="291"/>
      <c r="BB59" s="291"/>
      <c r="BC59" s="291"/>
      <c r="BD59" s="291"/>
      <c r="BE59" s="291"/>
      <c r="BF59" s="294"/>
      <c r="BG59" s="156"/>
    </row>
    <row r="60" spans="4:59" ht="15" customHeight="1" x14ac:dyDescent="0.25">
      <c r="E60" s="265" t="s">
        <v>139</v>
      </c>
      <c r="F60" s="136" t="s">
        <v>147</v>
      </c>
      <c r="G60" s="151"/>
      <c r="H60" s="151"/>
      <c r="I60" s="151"/>
      <c r="J60" s="151"/>
      <c r="K60" s="151"/>
      <c r="L60" s="151"/>
      <c r="M60" s="151"/>
      <c r="N60" s="151"/>
      <c r="O60" s="151"/>
      <c r="P60" s="151"/>
      <c r="Q60" s="151"/>
      <c r="R60" s="151"/>
      <c r="S60" s="151"/>
      <c r="T60" s="151"/>
      <c r="U60" s="151"/>
      <c r="V60" s="151"/>
      <c r="W60" s="151"/>
      <c r="X60" s="151"/>
      <c r="Y60" s="151"/>
      <c r="Z60" s="151"/>
      <c r="AA60" s="151"/>
      <c r="AB60" s="151"/>
      <c r="AC60" s="151"/>
      <c r="AD60" s="151"/>
      <c r="AE60" s="151"/>
      <c r="AF60" s="151"/>
      <c r="AG60" s="151"/>
      <c r="AH60" s="151"/>
      <c r="AI60" s="151"/>
      <c r="AJ60" s="151"/>
      <c r="AK60" s="339"/>
      <c r="AL60" s="327">
        <f t="shared" ref="AL60" si="17">SUMIF(G60:AK60,"PE",G61:AK61)</f>
        <v>0</v>
      </c>
      <c r="AM60" s="330">
        <f t="shared" ref="AM60" si="18">SUMIF(G60:AK60,"PE",G64:AK64)</f>
        <v>0</v>
      </c>
      <c r="AN60" s="333">
        <f t="shared" ref="AN60" si="19">SUM(G65:AK65)</f>
        <v>0</v>
      </c>
      <c r="AO60" s="336">
        <f t="shared" ref="AO60" si="20">SUM(G66:AK66)</f>
        <v>0</v>
      </c>
      <c r="AP60" s="295" t="str">
        <f t="shared" ref="AP60:AQ60" si="21">IF(COUNTIF($G60:$AK60,AP$23)=0,"",COUNTIF($G60:$AK60,AP$23))</f>
        <v/>
      </c>
      <c r="AQ60" s="289" t="str">
        <f t="shared" si="21"/>
        <v/>
      </c>
      <c r="AR60" s="289" t="str">
        <f t="shared" si="1"/>
        <v/>
      </c>
      <c r="AS60" s="289" t="str">
        <f t="shared" si="1"/>
        <v/>
      </c>
      <c r="AT60" s="289" t="str">
        <f t="shared" si="1"/>
        <v/>
      </c>
      <c r="AU60" s="289" t="str">
        <f t="shared" si="1"/>
        <v/>
      </c>
      <c r="AV60" s="289" t="str">
        <f t="shared" si="1"/>
        <v/>
      </c>
      <c r="AW60" s="289" t="str">
        <f t="shared" si="1"/>
        <v/>
      </c>
      <c r="AX60" s="289" t="str">
        <f t="shared" si="1"/>
        <v/>
      </c>
      <c r="AY60" s="289" t="str">
        <f t="shared" si="1"/>
        <v/>
      </c>
      <c r="AZ60" s="289" t="str">
        <f t="shared" si="1"/>
        <v/>
      </c>
      <c r="BA60" s="289" t="str">
        <f t="shared" si="1"/>
        <v/>
      </c>
      <c r="BB60" s="289" t="str">
        <f t="shared" si="1"/>
        <v/>
      </c>
      <c r="BC60" s="289" t="str">
        <f t="shared" si="1"/>
        <v/>
      </c>
      <c r="BD60" s="289" t="str">
        <f t="shared" si="1"/>
        <v/>
      </c>
      <c r="BE60" s="289" t="str">
        <f t="shared" si="1"/>
        <v/>
      </c>
      <c r="BF60" s="292" t="str">
        <f t="shared" ref="BF60" si="22">IF(COUNTIF($G60:$AK60,BF$23)=0,"",COUNTIF($G60:$AK60,BF$23))</f>
        <v/>
      </c>
      <c r="BG60" s="156"/>
    </row>
    <row r="61" spans="4:59" ht="21" x14ac:dyDescent="0.25">
      <c r="E61" s="266"/>
      <c r="F61" s="133" t="s">
        <v>152</v>
      </c>
      <c r="G61" s="147"/>
      <c r="H61" s="147"/>
      <c r="I61" s="147"/>
      <c r="J61" s="147"/>
      <c r="K61" s="147"/>
      <c r="L61" s="147"/>
      <c r="M61" s="147"/>
      <c r="N61" s="147"/>
      <c r="O61" s="147"/>
      <c r="P61" s="147"/>
      <c r="Q61" s="147"/>
      <c r="R61" s="147"/>
      <c r="S61" s="147"/>
      <c r="T61" s="147"/>
      <c r="U61" s="147"/>
      <c r="V61" s="147"/>
      <c r="W61" s="147"/>
      <c r="X61" s="147"/>
      <c r="Y61" s="147"/>
      <c r="Z61" s="147"/>
      <c r="AA61" s="147"/>
      <c r="AB61" s="147"/>
      <c r="AC61" s="147"/>
      <c r="AD61" s="147"/>
      <c r="AE61" s="147"/>
      <c r="AF61" s="147"/>
      <c r="AG61" s="147"/>
      <c r="AH61" s="147"/>
      <c r="AI61" s="147"/>
      <c r="AJ61" s="147"/>
      <c r="AK61" s="340"/>
      <c r="AL61" s="328"/>
      <c r="AM61" s="331"/>
      <c r="AN61" s="334"/>
      <c r="AO61" s="337"/>
      <c r="AP61" s="296"/>
      <c r="AQ61" s="290"/>
      <c r="AR61" s="290"/>
      <c r="AS61" s="290"/>
      <c r="AT61" s="290"/>
      <c r="AU61" s="290"/>
      <c r="AV61" s="290"/>
      <c r="AW61" s="290"/>
      <c r="AX61" s="290"/>
      <c r="AY61" s="290"/>
      <c r="AZ61" s="290"/>
      <c r="BA61" s="290"/>
      <c r="BB61" s="290"/>
      <c r="BC61" s="290"/>
      <c r="BD61" s="290"/>
      <c r="BE61" s="290"/>
      <c r="BF61" s="293"/>
      <c r="BG61" s="156"/>
    </row>
    <row r="62" spans="4:59" ht="15" customHeight="1" x14ac:dyDescent="0.25">
      <c r="E62" s="266"/>
      <c r="F62" s="134" t="s">
        <v>146</v>
      </c>
      <c r="G62" s="147"/>
      <c r="H62" s="147"/>
      <c r="I62" s="147"/>
      <c r="J62" s="147"/>
      <c r="K62" s="147"/>
      <c r="L62" s="147"/>
      <c r="M62" s="147"/>
      <c r="N62" s="147"/>
      <c r="O62" s="147"/>
      <c r="P62" s="147"/>
      <c r="Q62" s="147"/>
      <c r="R62" s="147"/>
      <c r="S62" s="147"/>
      <c r="T62" s="147"/>
      <c r="U62" s="147"/>
      <c r="V62" s="147"/>
      <c r="W62" s="147"/>
      <c r="X62" s="147"/>
      <c r="Y62" s="147"/>
      <c r="Z62" s="147"/>
      <c r="AA62" s="147"/>
      <c r="AB62" s="147"/>
      <c r="AC62" s="147"/>
      <c r="AD62" s="147"/>
      <c r="AE62" s="147"/>
      <c r="AF62" s="147"/>
      <c r="AG62" s="147"/>
      <c r="AH62" s="147"/>
      <c r="AI62" s="147"/>
      <c r="AJ62" s="147"/>
      <c r="AK62" s="340"/>
      <c r="AL62" s="328"/>
      <c r="AM62" s="331"/>
      <c r="AN62" s="334"/>
      <c r="AO62" s="337"/>
      <c r="AP62" s="296"/>
      <c r="AQ62" s="290"/>
      <c r="AR62" s="290"/>
      <c r="AS62" s="290"/>
      <c r="AT62" s="290"/>
      <c r="AU62" s="290"/>
      <c r="AV62" s="290"/>
      <c r="AW62" s="290"/>
      <c r="AX62" s="290"/>
      <c r="AY62" s="290"/>
      <c r="AZ62" s="290"/>
      <c r="BA62" s="290"/>
      <c r="BB62" s="290"/>
      <c r="BC62" s="290"/>
      <c r="BD62" s="290"/>
      <c r="BE62" s="290"/>
      <c r="BF62" s="293"/>
      <c r="BG62" s="156"/>
    </row>
    <row r="63" spans="4:59" ht="15" customHeight="1" x14ac:dyDescent="0.25">
      <c r="E63" s="266"/>
      <c r="F63" s="134" t="s">
        <v>150</v>
      </c>
      <c r="G63" s="147"/>
      <c r="H63" s="147"/>
      <c r="I63" s="147"/>
      <c r="J63" s="147"/>
      <c r="K63" s="147"/>
      <c r="L63" s="147"/>
      <c r="M63" s="147"/>
      <c r="N63" s="147"/>
      <c r="O63" s="147"/>
      <c r="P63" s="147"/>
      <c r="Q63" s="147"/>
      <c r="R63" s="147"/>
      <c r="S63" s="147"/>
      <c r="T63" s="147"/>
      <c r="U63" s="147"/>
      <c r="V63" s="147"/>
      <c r="W63" s="147"/>
      <c r="X63" s="147"/>
      <c r="Y63" s="147"/>
      <c r="Z63" s="147"/>
      <c r="AA63" s="147"/>
      <c r="AB63" s="147"/>
      <c r="AC63" s="147"/>
      <c r="AD63" s="147"/>
      <c r="AE63" s="147"/>
      <c r="AF63" s="147"/>
      <c r="AG63" s="147"/>
      <c r="AH63" s="147"/>
      <c r="AI63" s="147"/>
      <c r="AJ63" s="147"/>
      <c r="AK63" s="340"/>
      <c r="AL63" s="328"/>
      <c r="AM63" s="331"/>
      <c r="AN63" s="334"/>
      <c r="AO63" s="337"/>
      <c r="AP63" s="296"/>
      <c r="AQ63" s="290"/>
      <c r="AR63" s="290"/>
      <c r="AS63" s="290"/>
      <c r="AT63" s="290"/>
      <c r="AU63" s="290"/>
      <c r="AV63" s="290"/>
      <c r="AW63" s="290"/>
      <c r="AX63" s="290"/>
      <c r="AY63" s="290"/>
      <c r="AZ63" s="290"/>
      <c r="BA63" s="290"/>
      <c r="BB63" s="290"/>
      <c r="BC63" s="290"/>
      <c r="BD63" s="290"/>
      <c r="BE63" s="290"/>
      <c r="BF63" s="293"/>
      <c r="BG63" s="156"/>
    </row>
    <row r="64" spans="4:59" ht="15" customHeight="1" x14ac:dyDescent="0.25">
      <c r="E64" s="266"/>
      <c r="F64" s="134" t="s">
        <v>68</v>
      </c>
      <c r="G64" s="147"/>
      <c r="H64" s="147"/>
      <c r="I64" s="147"/>
      <c r="J64" s="147"/>
      <c r="K64" s="147"/>
      <c r="L64" s="147"/>
      <c r="M64" s="147"/>
      <c r="N64" s="147"/>
      <c r="O64" s="147"/>
      <c r="P64" s="147"/>
      <c r="Q64" s="147"/>
      <c r="R64" s="147"/>
      <c r="S64" s="147"/>
      <c r="T64" s="147"/>
      <c r="U64" s="147"/>
      <c r="V64" s="147"/>
      <c r="W64" s="147"/>
      <c r="X64" s="147"/>
      <c r="Y64" s="147"/>
      <c r="Z64" s="147"/>
      <c r="AA64" s="147"/>
      <c r="AB64" s="147"/>
      <c r="AC64" s="147"/>
      <c r="AD64" s="147"/>
      <c r="AE64" s="147"/>
      <c r="AF64" s="147"/>
      <c r="AG64" s="147"/>
      <c r="AH64" s="147"/>
      <c r="AI64" s="147"/>
      <c r="AJ64" s="147"/>
      <c r="AK64" s="340"/>
      <c r="AL64" s="328"/>
      <c r="AM64" s="331"/>
      <c r="AN64" s="334"/>
      <c r="AO64" s="337"/>
      <c r="AP64" s="296"/>
      <c r="AQ64" s="290"/>
      <c r="AR64" s="290"/>
      <c r="AS64" s="290"/>
      <c r="AT64" s="290"/>
      <c r="AU64" s="290"/>
      <c r="AV64" s="290"/>
      <c r="AW64" s="290"/>
      <c r="AX64" s="290"/>
      <c r="AY64" s="290"/>
      <c r="AZ64" s="290"/>
      <c r="BA64" s="290"/>
      <c r="BB64" s="290"/>
      <c r="BC64" s="290"/>
      <c r="BD64" s="290"/>
      <c r="BE64" s="290"/>
      <c r="BF64" s="293"/>
      <c r="BG64" s="156"/>
    </row>
    <row r="65" spans="5:59" ht="15" customHeight="1" x14ac:dyDescent="0.25">
      <c r="E65" s="266"/>
      <c r="F65" s="135" t="s">
        <v>148</v>
      </c>
      <c r="G65" s="147"/>
      <c r="H65" s="147"/>
      <c r="I65" s="147"/>
      <c r="J65" s="147"/>
      <c r="K65" s="147"/>
      <c r="L65" s="147"/>
      <c r="M65" s="147"/>
      <c r="N65" s="147"/>
      <c r="O65" s="147"/>
      <c r="P65" s="147"/>
      <c r="Q65" s="147"/>
      <c r="R65" s="147"/>
      <c r="S65" s="147"/>
      <c r="T65" s="147"/>
      <c r="U65" s="147"/>
      <c r="V65" s="147"/>
      <c r="W65" s="147"/>
      <c r="X65" s="147"/>
      <c r="Y65" s="147"/>
      <c r="Z65" s="147"/>
      <c r="AA65" s="147"/>
      <c r="AB65" s="147"/>
      <c r="AC65" s="147"/>
      <c r="AD65" s="147"/>
      <c r="AE65" s="147"/>
      <c r="AF65" s="147"/>
      <c r="AG65" s="147"/>
      <c r="AH65" s="147"/>
      <c r="AI65" s="147"/>
      <c r="AJ65" s="147"/>
      <c r="AK65" s="340"/>
      <c r="AL65" s="328"/>
      <c r="AM65" s="331"/>
      <c r="AN65" s="334"/>
      <c r="AO65" s="337"/>
      <c r="AP65" s="296"/>
      <c r="AQ65" s="290"/>
      <c r="AR65" s="290"/>
      <c r="AS65" s="290"/>
      <c r="AT65" s="290"/>
      <c r="AU65" s="290"/>
      <c r="AV65" s="290"/>
      <c r="AW65" s="290"/>
      <c r="AX65" s="290"/>
      <c r="AY65" s="290"/>
      <c r="AZ65" s="290"/>
      <c r="BA65" s="290"/>
      <c r="BB65" s="290"/>
      <c r="BC65" s="290"/>
      <c r="BD65" s="290"/>
      <c r="BE65" s="290"/>
      <c r="BF65" s="293"/>
      <c r="BG65" s="156"/>
    </row>
    <row r="66" spans="5:59" ht="15.75" customHeight="1" thickBot="1" x14ac:dyDescent="0.3">
      <c r="E66" s="266"/>
      <c r="F66" s="140" t="s">
        <v>149</v>
      </c>
      <c r="G66" s="153"/>
      <c r="H66" s="153"/>
      <c r="I66" s="149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  <c r="AH66" s="153"/>
      <c r="AI66" s="153"/>
      <c r="AJ66" s="153"/>
      <c r="AK66" s="341"/>
      <c r="AL66" s="329"/>
      <c r="AM66" s="332"/>
      <c r="AN66" s="335"/>
      <c r="AO66" s="338"/>
      <c r="AP66" s="297"/>
      <c r="AQ66" s="291"/>
      <c r="AR66" s="291"/>
      <c r="AS66" s="291"/>
      <c r="AT66" s="291"/>
      <c r="AU66" s="291"/>
      <c r="AV66" s="291"/>
      <c r="AW66" s="291"/>
      <c r="AX66" s="291"/>
      <c r="AY66" s="291"/>
      <c r="AZ66" s="291"/>
      <c r="BA66" s="291"/>
      <c r="BB66" s="291"/>
      <c r="BC66" s="291"/>
      <c r="BD66" s="291"/>
      <c r="BE66" s="291"/>
      <c r="BF66" s="294"/>
      <c r="BG66" s="156"/>
    </row>
    <row r="67" spans="5:59" ht="15" customHeight="1" x14ac:dyDescent="0.25">
      <c r="E67" s="265" t="s">
        <v>140</v>
      </c>
      <c r="F67" s="136" t="s">
        <v>147</v>
      </c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151"/>
      <c r="AC67" s="151"/>
      <c r="AD67" s="151"/>
      <c r="AE67" s="151"/>
      <c r="AF67" s="151"/>
      <c r="AG67" s="151"/>
      <c r="AH67" s="151"/>
      <c r="AI67" s="151"/>
      <c r="AJ67" s="151"/>
      <c r="AK67" s="154"/>
      <c r="AL67" s="327">
        <f t="shared" ref="AL67" si="23">SUMIF(G67:AK67,"PE",G68:AK68)</f>
        <v>0</v>
      </c>
      <c r="AM67" s="330">
        <f t="shared" ref="AM67" si="24">SUMIF(G67:AK67,"PE",G71:AK71)</f>
        <v>0</v>
      </c>
      <c r="AN67" s="333">
        <f t="shared" ref="AN67" si="25">SUM(G72:AK72)</f>
        <v>0</v>
      </c>
      <c r="AO67" s="336">
        <f t="shared" ref="AO67" si="26">SUM(G73:AK73)</f>
        <v>0</v>
      </c>
      <c r="AP67" s="295" t="str">
        <f t="shared" ref="AP67:BE102" si="27">IF(COUNTIF($G67:$AK67,AP$23)=0,"",COUNTIF($G67:$AK67,AP$23))</f>
        <v/>
      </c>
      <c r="AQ67" s="289" t="str">
        <f t="shared" si="27"/>
        <v/>
      </c>
      <c r="AR67" s="289" t="str">
        <f t="shared" si="27"/>
        <v/>
      </c>
      <c r="AS67" s="289" t="str">
        <f t="shared" si="27"/>
        <v/>
      </c>
      <c r="AT67" s="289" t="str">
        <f t="shared" si="27"/>
        <v/>
      </c>
      <c r="AU67" s="289" t="str">
        <f t="shared" si="27"/>
        <v/>
      </c>
      <c r="AV67" s="289" t="str">
        <f t="shared" si="27"/>
        <v/>
      </c>
      <c r="AW67" s="289" t="str">
        <f t="shared" si="27"/>
        <v/>
      </c>
      <c r="AX67" s="289" t="str">
        <f t="shared" si="27"/>
        <v/>
      </c>
      <c r="AY67" s="289" t="str">
        <f t="shared" si="27"/>
        <v/>
      </c>
      <c r="AZ67" s="289" t="str">
        <f t="shared" si="27"/>
        <v/>
      </c>
      <c r="BA67" s="289" t="str">
        <f t="shared" si="27"/>
        <v/>
      </c>
      <c r="BB67" s="289" t="str">
        <f t="shared" si="27"/>
        <v/>
      </c>
      <c r="BC67" s="289" t="str">
        <f t="shared" si="27"/>
        <v/>
      </c>
      <c r="BD67" s="289" t="str">
        <f t="shared" si="27"/>
        <v/>
      </c>
      <c r="BE67" s="289" t="str">
        <f t="shared" si="27"/>
        <v/>
      </c>
      <c r="BF67" s="292" t="str">
        <f t="shared" ref="BF67" si="28">IF(COUNTIF($G67:$AK67,BF$23)=0,"",COUNTIF($G67:$AK67,BF$23))</f>
        <v/>
      </c>
      <c r="BG67" s="156"/>
    </row>
    <row r="68" spans="5:59" ht="21" x14ac:dyDescent="0.25">
      <c r="E68" s="266"/>
      <c r="F68" s="133" t="s">
        <v>152</v>
      </c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147"/>
      <c r="AC68" s="147"/>
      <c r="AD68" s="147"/>
      <c r="AE68" s="147"/>
      <c r="AF68" s="147"/>
      <c r="AG68" s="147"/>
      <c r="AH68" s="147"/>
      <c r="AI68" s="147"/>
      <c r="AJ68" s="147"/>
      <c r="AK68" s="148"/>
      <c r="AL68" s="328"/>
      <c r="AM68" s="331"/>
      <c r="AN68" s="334"/>
      <c r="AO68" s="337"/>
      <c r="AP68" s="296"/>
      <c r="AQ68" s="290"/>
      <c r="AR68" s="290"/>
      <c r="AS68" s="290"/>
      <c r="AT68" s="290"/>
      <c r="AU68" s="290"/>
      <c r="AV68" s="290"/>
      <c r="AW68" s="290"/>
      <c r="AX68" s="290"/>
      <c r="AY68" s="290"/>
      <c r="AZ68" s="290"/>
      <c r="BA68" s="290"/>
      <c r="BB68" s="290"/>
      <c r="BC68" s="290"/>
      <c r="BD68" s="290"/>
      <c r="BE68" s="290"/>
      <c r="BF68" s="293"/>
      <c r="BG68" s="156"/>
    </row>
    <row r="69" spans="5:59" ht="15" customHeight="1" x14ac:dyDescent="0.25">
      <c r="E69" s="266"/>
      <c r="F69" s="134" t="s">
        <v>146</v>
      </c>
      <c r="G69" s="147"/>
      <c r="H69" s="147"/>
      <c r="I69" s="147"/>
      <c r="J69" s="147"/>
      <c r="K69" s="147"/>
      <c r="L69" s="147"/>
      <c r="M69" s="147"/>
      <c r="N69" s="147"/>
      <c r="O69" s="147"/>
      <c r="P69" s="147"/>
      <c r="Q69" s="147"/>
      <c r="R69" s="147"/>
      <c r="S69" s="147"/>
      <c r="T69" s="147"/>
      <c r="U69" s="147"/>
      <c r="V69" s="147"/>
      <c r="W69" s="147"/>
      <c r="X69" s="147"/>
      <c r="Y69" s="147"/>
      <c r="Z69" s="147"/>
      <c r="AA69" s="147"/>
      <c r="AB69" s="147"/>
      <c r="AC69" s="147"/>
      <c r="AD69" s="147"/>
      <c r="AE69" s="147"/>
      <c r="AF69" s="147"/>
      <c r="AG69" s="147"/>
      <c r="AH69" s="147"/>
      <c r="AI69" s="147"/>
      <c r="AJ69" s="147"/>
      <c r="AK69" s="148"/>
      <c r="AL69" s="328"/>
      <c r="AM69" s="331"/>
      <c r="AN69" s="334"/>
      <c r="AO69" s="337"/>
      <c r="AP69" s="296"/>
      <c r="AQ69" s="290"/>
      <c r="AR69" s="290"/>
      <c r="AS69" s="290"/>
      <c r="AT69" s="290"/>
      <c r="AU69" s="290"/>
      <c r="AV69" s="290"/>
      <c r="AW69" s="290"/>
      <c r="AX69" s="290"/>
      <c r="AY69" s="290"/>
      <c r="AZ69" s="290"/>
      <c r="BA69" s="290"/>
      <c r="BB69" s="290"/>
      <c r="BC69" s="290"/>
      <c r="BD69" s="290"/>
      <c r="BE69" s="290"/>
      <c r="BF69" s="293"/>
      <c r="BG69" s="156"/>
    </row>
    <row r="70" spans="5:59" ht="15" customHeight="1" x14ac:dyDescent="0.25">
      <c r="E70" s="266"/>
      <c r="F70" s="134" t="s">
        <v>150</v>
      </c>
      <c r="G70" s="147"/>
      <c r="H70" s="147"/>
      <c r="I70" s="147"/>
      <c r="J70" s="147"/>
      <c r="K70" s="147"/>
      <c r="L70" s="147"/>
      <c r="M70" s="147"/>
      <c r="N70" s="147"/>
      <c r="O70" s="147"/>
      <c r="P70" s="147"/>
      <c r="Q70" s="147"/>
      <c r="R70" s="147"/>
      <c r="S70" s="147"/>
      <c r="T70" s="147"/>
      <c r="U70" s="147"/>
      <c r="V70" s="147"/>
      <c r="W70" s="147"/>
      <c r="X70" s="147"/>
      <c r="Y70" s="147"/>
      <c r="Z70" s="147"/>
      <c r="AA70" s="147"/>
      <c r="AB70" s="147"/>
      <c r="AC70" s="147"/>
      <c r="AD70" s="147"/>
      <c r="AE70" s="147"/>
      <c r="AF70" s="147"/>
      <c r="AG70" s="147"/>
      <c r="AH70" s="147"/>
      <c r="AI70" s="147"/>
      <c r="AJ70" s="147"/>
      <c r="AK70" s="148"/>
      <c r="AL70" s="328"/>
      <c r="AM70" s="331"/>
      <c r="AN70" s="334"/>
      <c r="AO70" s="337"/>
      <c r="AP70" s="296"/>
      <c r="AQ70" s="290"/>
      <c r="AR70" s="290"/>
      <c r="AS70" s="290"/>
      <c r="AT70" s="290"/>
      <c r="AU70" s="290"/>
      <c r="AV70" s="290"/>
      <c r="AW70" s="290"/>
      <c r="AX70" s="290"/>
      <c r="AY70" s="290"/>
      <c r="AZ70" s="290"/>
      <c r="BA70" s="290"/>
      <c r="BB70" s="290"/>
      <c r="BC70" s="290"/>
      <c r="BD70" s="290"/>
      <c r="BE70" s="290"/>
      <c r="BF70" s="293"/>
      <c r="BG70" s="156"/>
    </row>
    <row r="71" spans="5:59" ht="15" customHeight="1" x14ac:dyDescent="0.25">
      <c r="E71" s="266"/>
      <c r="F71" s="134" t="s">
        <v>68</v>
      </c>
      <c r="G71" s="147"/>
      <c r="H71" s="147"/>
      <c r="I71" s="147"/>
      <c r="J71" s="147"/>
      <c r="K71" s="147"/>
      <c r="L71" s="147"/>
      <c r="M71" s="147"/>
      <c r="N71" s="147"/>
      <c r="O71" s="147"/>
      <c r="P71" s="147"/>
      <c r="Q71" s="147"/>
      <c r="R71" s="147"/>
      <c r="S71" s="147"/>
      <c r="T71" s="147"/>
      <c r="U71" s="147"/>
      <c r="V71" s="147"/>
      <c r="W71" s="147"/>
      <c r="X71" s="147"/>
      <c r="Y71" s="147"/>
      <c r="Z71" s="147"/>
      <c r="AA71" s="147"/>
      <c r="AB71" s="147"/>
      <c r="AC71" s="147"/>
      <c r="AD71" s="147"/>
      <c r="AE71" s="147"/>
      <c r="AF71" s="147"/>
      <c r="AG71" s="147"/>
      <c r="AH71" s="147"/>
      <c r="AI71" s="147"/>
      <c r="AJ71" s="147"/>
      <c r="AK71" s="148"/>
      <c r="AL71" s="328"/>
      <c r="AM71" s="331"/>
      <c r="AN71" s="334"/>
      <c r="AO71" s="337"/>
      <c r="AP71" s="296"/>
      <c r="AQ71" s="290"/>
      <c r="AR71" s="290"/>
      <c r="AS71" s="290"/>
      <c r="AT71" s="290"/>
      <c r="AU71" s="290"/>
      <c r="AV71" s="290"/>
      <c r="AW71" s="290"/>
      <c r="AX71" s="290"/>
      <c r="AY71" s="290"/>
      <c r="AZ71" s="290"/>
      <c r="BA71" s="290"/>
      <c r="BB71" s="290"/>
      <c r="BC71" s="290"/>
      <c r="BD71" s="290"/>
      <c r="BE71" s="290"/>
      <c r="BF71" s="293"/>
      <c r="BG71" s="156"/>
    </row>
    <row r="72" spans="5:59" ht="15" customHeight="1" x14ac:dyDescent="0.25">
      <c r="E72" s="266"/>
      <c r="F72" s="135" t="s">
        <v>148</v>
      </c>
      <c r="G72" s="147"/>
      <c r="H72" s="147"/>
      <c r="I72" s="147"/>
      <c r="J72" s="147"/>
      <c r="K72" s="147"/>
      <c r="L72" s="147"/>
      <c r="M72" s="147"/>
      <c r="N72" s="147"/>
      <c r="O72" s="147"/>
      <c r="P72" s="147"/>
      <c r="Q72" s="147"/>
      <c r="R72" s="147"/>
      <c r="S72" s="147"/>
      <c r="T72" s="147"/>
      <c r="U72" s="147"/>
      <c r="V72" s="147"/>
      <c r="W72" s="147"/>
      <c r="X72" s="147"/>
      <c r="Y72" s="147"/>
      <c r="Z72" s="147"/>
      <c r="AA72" s="147"/>
      <c r="AB72" s="147"/>
      <c r="AC72" s="147"/>
      <c r="AD72" s="147"/>
      <c r="AE72" s="147"/>
      <c r="AF72" s="147"/>
      <c r="AG72" s="147"/>
      <c r="AH72" s="147"/>
      <c r="AI72" s="147"/>
      <c r="AJ72" s="147"/>
      <c r="AK72" s="148"/>
      <c r="AL72" s="328"/>
      <c r="AM72" s="331"/>
      <c r="AN72" s="334"/>
      <c r="AO72" s="337"/>
      <c r="AP72" s="296"/>
      <c r="AQ72" s="290"/>
      <c r="AR72" s="290"/>
      <c r="AS72" s="290"/>
      <c r="AT72" s="290"/>
      <c r="AU72" s="290"/>
      <c r="AV72" s="290"/>
      <c r="AW72" s="290"/>
      <c r="AX72" s="290"/>
      <c r="AY72" s="290"/>
      <c r="AZ72" s="290"/>
      <c r="BA72" s="290"/>
      <c r="BB72" s="290"/>
      <c r="BC72" s="290"/>
      <c r="BD72" s="290"/>
      <c r="BE72" s="290"/>
      <c r="BF72" s="293"/>
      <c r="BG72" s="156"/>
    </row>
    <row r="73" spans="5:59" ht="15.75" customHeight="1" thickBot="1" x14ac:dyDescent="0.3">
      <c r="E73" s="266"/>
      <c r="F73" s="140" t="s">
        <v>149</v>
      </c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  <c r="AH73" s="153"/>
      <c r="AI73" s="153"/>
      <c r="AJ73" s="153"/>
      <c r="AK73" s="155"/>
      <c r="AL73" s="329"/>
      <c r="AM73" s="332"/>
      <c r="AN73" s="335"/>
      <c r="AO73" s="338"/>
      <c r="AP73" s="297"/>
      <c r="AQ73" s="291"/>
      <c r="AR73" s="291"/>
      <c r="AS73" s="291"/>
      <c r="AT73" s="291"/>
      <c r="AU73" s="291"/>
      <c r="AV73" s="291"/>
      <c r="AW73" s="291"/>
      <c r="AX73" s="291"/>
      <c r="AY73" s="291"/>
      <c r="AZ73" s="291"/>
      <c r="BA73" s="291"/>
      <c r="BB73" s="291"/>
      <c r="BC73" s="291"/>
      <c r="BD73" s="291"/>
      <c r="BE73" s="291"/>
      <c r="BF73" s="294"/>
      <c r="BG73" s="156"/>
    </row>
    <row r="74" spans="5:59" ht="15" customHeight="1" x14ac:dyDescent="0.25">
      <c r="E74" s="288" t="s">
        <v>141</v>
      </c>
      <c r="F74" s="160" t="s">
        <v>147</v>
      </c>
      <c r="G74" s="161"/>
      <c r="H74" s="161"/>
      <c r="I74" s="161"/>
      <c r="J74" s="161"/>
      <c r="K74" s="161"/>
      <c r="L74" s="161"/>
      <c r="M74" s="161"/>
      <c r="N74" s="161"/>
      <c r="O74" s="161"/>
      <c r="P74" s="161"/>
      <c r="Q74" s="161"/>
      <c r="R74" s="161"/>
      <c r="S74" s="161"/>
      <c r="T74" s="161"/>
      <c r="U74" s="161"/>
      <c r="V74" s="161"/>
      <c r="W74" s="161"/>
      <c r="X74" s="161"/>
      <c r="Y74" s="161"/>
      <c r="Z74" s="161"/>
      <c r="AA74" s="161"/>
      <c r="AB74" s="161"/>
      <c r="AC74" s="161"/>
      <c r="AD74" s="161"/>
      <c r="AE74" s="161"/>
      <c r="AF74" s="161"/>
      <c r="AG74" s="161"/>
      <c r="AH74" s="161"/>
      <c r="AI74" s="161"/>
      <c r="AJ74" s="161"/>
      <c r="AK74" s="162"/>
      <c r="AL74" s="327">
        <f t="shared" ref="AL74" si="29">SUMIF(G74:AK74,"PE",G75:AK75)</f>
        <v>0</v>
      </c>
      <c r="AM74" s="330">
        <f t="shared" ref="AM74" si="30">SUMIF(G74:AK74,"PE",G78:AK78)</f>
        <v>0</v>
      </c>
      <c r="AN74" s="333">
        <f t="shared" ref="AN74" si="31">SUM(G79:AK79)</f>
        <v>0</v>
      </c>
      <c r="AO74" s="336">
        <f t="shared" ref="AO74" si="32">SUM(G80:AK80)</f>
        <v>0</v>
      </c>
      <c r="AP74" s="295" t="str">
        <f t="shared" ref="AP74:AQ74" si="33">IF(COUNTIF($G74:$AK74,AP$23)=0,"",COUNTIF($G74:$AK74,AP$23))</f>
        <v/>
      </c>
      <c r="AQ74" s="289" t="str">
        <f t="shared" si="33"/>
        <v/>
      </c>
      <c r="AR74" s="289" t="str">
        <f t="shared" si="27"/>
        <v/>
      </c>
      <c r="AS74" s="289" t="str">
        <f t="shared" si="27"/>
        <v/>
      </c>
      <c r="AT74" s="289" t="str">
        <f t="shared" si="27"/>
        <v/>
      </c>
      <c r="AU74" s="289" t="str">
        <f t="shared" si="27"/>
        <v/>
      </c>
      <c r="AV74" s="289" t="str">
        <f t="shared" si="27"/>
        <v/>
      </c>
      <c r="AW74" s="289" t="str">
        <f t="shared" si="27"/>
        <v/>
      </c>
      <c r="AX74" s="289" t="str">
        <f t="shared" si="27"/>
        <v/>
      </c>
      <c r="AY74" s="289" t="str">
        <f t="shared" si="27"/>
        <v/>
      </c>
      <c r="AZ74" s="289" t="str">
        <f t="shared" si="27"/>
        <v/>
      </c>
      <c r="BA74" s="289" t="str">
        <f t="shared" si="27"/>
        <v/>
      </c>
      <c r="BB74" s="289" t="str">
        <f t="shared" si="27"/>
        <v/>
      </c>
      <c r="BC74" s="289" t="str">
        <f t="shared" si="27"/>
        <v/>
      </c>
      <c r="BD74" s="289" t="str">
        <f t="shared" si="27"/>
        <v/>
      </c>
      <c r="BE74" s="289" t="str">
        <f t="shared" si="27"/>
        <v/>
      </c>
      <c r="BF74" s="292" t="str">
        <f t="shared" ref="BF74" si="34">IF(COUNTIF($G74:$AK74,BF$23)=0,"",COUNTIF($G74:$AK74,BF$23))</f>
        <v/>
      </c>
      <c r="BG74" s="156"/>
    </row>
    <row r="75" spans="5:59" ht="21" x14ac:dyDescent="0.25">
      <c r="E75" s="266"/>
      <c r="F75" s="133" t="s">
        <v>152</v>
      </c>
      <c r="G75" s="147"/>
      <c r="H75" s="147"/>
      <c r="I75" s="147"/>
      <c r="J75" s="147"/>
      <c r="K75" s="147"/>
      <c r="L75" s="147"/>
      <c r="M75" s="147"/>
      <c r="N75" s="147"/>
      <c r="O75" s="147"/>
      <c r="P75" s="147"/>
      <c r="Q75" s="147"/>
      <c r="R75" s="147"/>
      <c r="S75" s="147"/>
      <c r="T75" s="147"/>
      <c r="U75" s="147"/>
      <c r="V75" s="147"/>
      <c r="W75" s="147"/>
      <c r="X75" s="147"/>
      <c r="Y75" s="147"/>
      <c r="Z75" s="147"/>
      <c r="AA75" s="147"/>
      <c r="AB75" s="147"/>
      <c r="AC75" s="147"/>
      <c r="AD75" s="147"/>
      <c r="AE75" s="147"/>
      <c r="AF75" s="147"/>
      <c r="AG75" s="147"/>
      <c r="AH75" s="147"/>
      <c r="AI75" s="147"/>
      <c r="AJ75" s="147"/>
      <c r="AK75" s="148"/>
      <c r="AL75" s="328"/>
      <c r="AM75" s="331"/>
      <c r="AN75" s="334"/>
      <c r="AO75" s="337"/>
      <c r="AP75" s="296"/>
      <c r="AQ75" s="290"/>
      <c r="AR75" s="290"/>
      <c r="AS75" s="290"/>
      <c r="AT75" s="290"/>
      <c r="AU75" s="290"/>
      <c r="AV75" s="290"/>
      <c r="AW75" s="290"/>
      <c r="AX75" s="290"/>
      <c r="AY75" s="290"/>
      <c r="AZ75" s="290"/>
      <c r="BA75" s="290"/>
      <c r="BB75" s="290"/>
      <c r="BC75" s="290"/>
      <c r="BD75" s="290"/>
      <c r="BE75" s="290"/>
      <c r="BF75" s="293"/>
      <c r="BG75" s="156"/>
    </row>
    <row r="76" spans="5:59" ht="15" customHeight="1" x14ac:dyDescent="0.25">
      <c r="E76" s="266"/>
      <c r="F76" s="134" t="s">
        <v>146</v>
      </c>
      <c r="G76" s="147"/>
      <c r="H76" s="147"/>
      <c r="I76" s="147"/>
      <c r="J76" s="147"/>
      <c r="K76" s="147"/>
      <c r="L76" s="147"/>
      <c r="M76" s="147"/>
      <c r="N76" s="147"/>
      <c r="O76" s="147"/>
      <c r="P76" s="147"/>
      <c r="Q76" s="147"/>
      <c r="R76" s="147"/>
      <c r="S76" s="147"/>
      <c r="T76" s="147"/>
      <c r="U76" s="147"/>
      <c r="V76" s="147"/>
      <c r="W76" s="147"/>
      <c r="X76" s="147"/>
      <c r="Y76" s="147"/>
      <c r="Z76" s="147"/>
      <c r="AA76" s="147"/>
      <c r="AB76" s="147"/>
      <c r="AC76" s="147"/>
      <c r="AD76" s="147"/>
      <c r="AE76" s="147"/>
      <c r="AF76" s="147"/>
      <c r="AG76" s="147"/>
      <c r="AH76" s="147"/>
      <c r="AI76" s="147"/>
      <c r="AJ76" s="147"/>
      <c r="AK76" s="148"/>
      <c r="AL76" s="328"/>
      <c r="AM76" s="331"/>
      <c r="AN76" s="334"/>
      <c r="AO76" s="337"/>
      <c r="AP76" s="296"/>
      <c r="AQ76" s="290"/>
      <c r="AR76" s="290"/>
      <c r="AS76" s="290"/>
      <c r="AT76" s="290"/>
      <c r="AU76" s="290"/>
      <c r="AV76" s="290"/>
      <c r="AW76" s="290"/>
      <c r="AX76" s="290"/>
      <c r="AY76" s="290"/>
      <c r="AZ76" s="290"/>
      <c r="BA76" s="290"/>
      <c r="BB76" s="290"/>
      <c r="BC76" s="290"/>
      <c r="BD76" s="290"/>
      <c r="BE76" s="290"/>
      <c r="BF76" s="293"/>
      <c r="BG76" s="156"/>
    </row>
    <row r="77" spans="5:59" ht="15" customHeight="1" x14ac:dyDescent="0.25">
      <c r="E77" s="266"/>
      <c r="F77" s="134" t="s">
        <v>150</v>
      </c>
      <c r="G77" s="147"/>
      <c r="H77" s="147"/>
      <c r="I77" s="147"/>
      <c r="J77" s="147"/>
      <c r="K77" s="147"/>
      <c r="L77" s="147"/>
      <c r="M77" s="147"/>
      <c r="N77" s="147"/>
      <c r="O77" s="147"/>
      <c r="P77" s="147"/>
      <c r="Q77" s="147"/>
      <c r="R77" s="147"/>
      <c r="S77" s="147"/>
      <c r="T77" s="147"/>
      <c r="U77" s="147"/>
      <c r="V77" s="147"/>
      <c r="W77" s="147"/>
      <c r="X77" s="147"/>
      <c r="Y77" s="147"/>
      <c r="Z77" s="147"/>
      <c r="AA77" s="147"/>
      <c r="AB77" s="147"/>
      <c r="AC77" s="147"/>
      <c r="AD77" s="147"/>
      <c r="AE77" s="147"/>
      <c r="AF77" s="147"/>
      <c r="AG77" s="147"/>
      <c r="AH77" s="147"/>
      <c r="AI77" s="147"/>
      <c r="AJ77" s="147"/>
      <c r="AK77" s="148"/>
      <c r="AL77" s="328"/>
      <c r="AM77" s="331"/>
      <c r="AN77" s="334"/>
      <c r="AO77" s="337"/>
      <c r="AP77" s="296"/>
      <c r="AQ77" s="290"/>
      <c r="AR77" s="290"/>
      <c r="AS77" s="290"/>
      <c r="AT77" s="290"/>
      <c r="AU77" s="290"/>
      <c r="AV77" s="290"/>
      <c r="AW77" s="290"/>
      <c r="AX77" s="290"/>
      <c r="AY77" s="290"/>
      <c r="AZ77" s="290"/>
      <c r="BA77" s="290"/>
      <c r="BB77" s="290"/>
      <c r="BC77" s="290"/>
      <c r="BD77" s="290"/>
      <c r="BE77" s="290"/>
      <c r="BF77" s="293"/>
      <c r="BG77" s="156"/>
    </row>
    <row r="78" spans="5:59" ht="15" customHeight="1" x14ac:dyDescent="0.25">
      <c r="E78" s="266"/>
      <c r="F78" s="134" t="s">
        <v>68</v>
      </c>
      <c r="G78" s="147"/>
      <c r="H78" s="147"/>
      <c r="I78" s="147"/>
      <c r="J78" s="147"/>
      <c r="K78" s="147"/>
      <c r="L78" s="147"/>
      <c r="M78" s="147"/>
      <c r="N78" s="147"/>
      <c r="O78" s="147"/>
      <c r="P78" s="147"/>
      <c r="Q78" s="147"/>
      <c r="R78" s="147"/>
      <c r="S78" s="147"/>
      <c r="T78" s="147"/>
      <c r="U78" s="147"/>
      <c r="V78" s="147"/>
      <c r="W78" s="147"/>
      <c r="X78" s="147"/>
      <c r="Y78" s="147"/>
      <c r="Z78" s="147"/>
      <c r="AA78" s="147"/>
      <c r="AB78" s="147"/>
      <c r="AC78" s="147"/>
      <c r="AD78" s="147"/>
      <c r="AE78" s="147"/>
      <c r="AF78" s="147"/>
      <c r="AG78" s="147"/>
      <c r="AH78" s="147"/>
      <c r="AI78" s="147"/>
      <c r="AJ78" s="147"/>
      <c r="AK78" s="148"/>
      <c r="AL78" s="328"/>
      <c r="AM78" s="331"/>
      <c r="AN78" s="334"/>
      <c r="AO78" s="337"/>
      <c r="AP78" s="296"/>
      <c r="AQ78" s="290"/>
      <c r="AR78" s="290"/>
      <c r="AS78" s="290"/>
      <c r="AT78" s="290"/>
      <c r="AU78" s="290"/>
      <c r="AV78" s="290"/>
      <c r="AW78" s="290"/>
      <c r="AX78" s="290"/>
      <c r="AY78" s="290"/>
      <c r="AZ78" s="290"/>
      <c r="BA78" s="290"/>
      <c r="BB78" s="290"/>
      <c r="BC78" s="290"/>
      <c r="BD78" s="290"/>
      <c r="BE78" s="290"/>
      <c r="BF78" s="293"/>
      <c r="BG78" s="156"/>
    </row>
    <row r="79" spans="5:59" ht="15" customHeight="1" x14ac:dyDescent="0.25">
      <c r="E79" s="266"/>
      <c r="F79" s="135" t="s">
        <v>148</v>
      </c>
      <c r="G79" s="147"/>
      <c r="H79" s="147"/>
      <c r="I79" s="147"/>
      <c r="J79" s="147"/>
      <c r="K79" s="147"/>
      <c r="L79" s="147"/>
      <c r="M79" s="147"/>
      <c r="N79" s="147"/>
      <c r="O79" s="147"/>
      <c r="P79" s="147"/>
      <c r="Q79" s="147"/>
      <c r="R79" s="147"/>
      <c r="S79" s="147"/>
      <c r="T79" s="147"/>
      <c r="U79" s="147"/>
      <c r="V79" s="147"/>
      <c r="W79" s="147"/>
      <c r="X79" s="147"/>
      <c r="Y79" s="147"/>
      <c r="Z79" s="147"/>
      <c r="AA79" s="147"/>
      <c r="AB79" s="147"/>
      <c r="AC79" s="147"/>
      <c r="AD79" s="147"/>
      <c r="AE79" s="147"/>
      <c r="AF79" s="147"/>
      <c r="AG79" s="147"/>
      <c r="AH79" s="147"/>
      <c r="AI79" s="147"/>
      <c r="AJ79" s="147"/>
      <c r="AK79" s="148"/>
      <c r="AL79" s="328"/>
      <c r="AM79" s="331"/>
      <c r="AN79" s="334"/>
      <c r="AO79" s="337"/>
      <c r="AP79" s="296"/>
      <c r="AQ79" s="290"/>
      <c r="AR79" s="290"/>
      <c r="AS79" s="290"/>
      <c r="AT79" s="290"/>
      <c r="AU79" s="290"/>
      <c r="AV79" s="290"/>
      <c r="AW79" s="290"/>
      <c r="AX79" s="290"/>
      <c r="AY79" s="290"/>
      <c r="AZ79" s="290"/>
      <c r="BA79" s="290"/>
      <c r="BB79" s="290"/>
      <c r="BC79" s="290"/>
      <c r="BD79" s="290"/>
      <c r="BE79" s="290"/>
      <c r="BF79" s="293"/>
      <c r="BG79" s="156"/>
    </row>
    <row r="80" spans="5:59" ht="15.75" customHeight="1" thickBot="1" x14ac:dyDescent="0.3">
      <c r="E80" s="267"/>
      <c r="F80" s="139" t="s">
        <v>149</v>
      </c>
      <c r="G80" s="149"/>
      <c r="H80" s="149"/>
      <c r="I80" s="149"/>
      <c r="J80" s="149"/>
      <c r="K80" s="149"/>
      <c r="L80" s="149"/>
      <c r="M80" s="149"/>
      <c r="N80" s="149"/>
      <c r="O80" s="149"/>
      <c r="P80" s="149"/>
      <c r="Q80" s="149"/>
      <c r="R80" s="149"/>
      <c r="S80" s="149"/>
      <c r="T80" s="149"/>
      <c r="U80" s="149"/>
      <c r="V80" s="149"/>
      <c r="W80" s="149"/>
      <c r="X80" s="149"/>
      <c r="Y80" s="149"/>
      <c r="Z80" s="149"/>
      <c r="AA80" s="149"/>
      <c r="AB80" s="149"/>
      <c r="AC80" s="149"/>
      <c r="AD80" s="149"/>
      <c r="AE80" s="149"/>
      <c r="AF80" s="149"/>
      <c r="AG80" s="149"/>
      <c r="AH80" s="149"/>
      <c r="AI80" s="149"/>
      <c r="AJ80" s="149"/>
      <c r="AK80" s="150"/>
      <c r="AL80" s="329"/>
      <c r="AM80" s="332"/>
      <c r="AN80" s="335"/>
      <c r="AO80" s="338"/>
      <c r="AP80" s="297"/>
      <c r="AQ80" s="291"/>
      <c r="AR80" s="291"/>
      <c r="AS80" s="291"/>
      <c r="AT80" s="291"/>
      <c r="AU80" s="291"/>
      <c r="AV80" s="291"/>
      <c r="AW80" s="291"/>
      <c r="AX80" s="291"/>
      <c r="AY80" s="291"/>
      <c r="AZ80" s="291"/>
      <c r="BA80" s="291"/>
      <c r="BB80" s="291"/>
      <c r="BC80" s="291"/>
      <c r="BD80" s="291"/>
      <c r="BE80" s="291"/>
      <c r="BF80" s="294"/>
      <c r="BG80" s="156"/>
    </row>
    <row r="81" spans="5:59" ht="15" customHeight="1" x14ac:dyDescent="0.25">
      <c r="E81" s="265" t="s">
        <v>142</v>
      </c>
      <c r="F81" s="136" t="s">
        <v>147</v>
      </c>
      <c r="G81" s="151"/>
      <c r="H81" s="151"/>
      <c r="I81" s="151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339"/>
      <c r="AL81" s="327">
        <f t="shared" ref="AL81" si="35">SUMIF(G81:AK81,"PE",G82:AK82)</f>
        <v>0</v>
      </c>
      <c r="AM81" s="330">
        <f t="shared" ref="AM81" si="36">SUMIF(G81:AK81,"PE",G85:AK85)</f>
        <v>0</v>
      </c>
      <c r="AN81" s="333">
        <f t="shared" ref="AN81" si="37">SUM(G86:AK86)</f>
        <v>0</v>
      </c>
      <c r="AO81" s="336">
        <f t="shared" ref="AO81" si="38">SUM(G87:AK87)</f>
        <v>0</v>
      </c>
      <c r="AP81" s="295" t="str">
        <f t="shared" ref="AP81:AQ81" si="39">IF(COUNTIF($G81:$AK81,AP$23)=0,"",COUNTIF($G81:$AK81,AP$23))</f>
        <v/>
      </c>
      <c r="AQ81" s="289" t="str">
        <f t="shared" si="39"/>
        <v/>
      </c>
      <c r="AR81" s="289" t="str">
        <f t="shared" si="27"/>
        <v/>
      </c>
      <c r="AS81" s="289" t="str">
        <f t="shared" si="27"/>
        <v/>
      </c>
      <c r="AT81" s="289" t="str">
        <f t="shared" si="27"/>
        <v/>
      </c>
      <c r="AU81" s="289" t="str">
        <f t="shared" si="27"/>
        <v/>
      </c>
      <c r="AV81" s="289" t="str">
        <f t="shared" si="27"/>
        <v/>
      </c>
      <c r="AW81" s="289" t="str">
        <f t="shared" si="27"/>
        <v/>
      </c>
      <c r="AX81" s="289" t="str">
        <f t="shared" si="27"/>
        <v/>
      </c>
      <c r="AY81" s="289" t="str">
        <f t="shared" si="27"/>
        <v/>
      </c>
      <c r="AZ81" s="289" t="str">
        <f t="shared" si="27"/>
        <v/>
      </c>
      <c r="BA81" s="289" t="str">
        <f t="shared" si="27"/>
        <v/>
      </c>
      <c r="BB81" s="289" t="str">
        <f t="shared" si="27"/>
        <v/>
      </c>
      <c r="BC81" s="289" t="str">
        <f t="shared" si="27"/>
        <v/>
      </c>
      <c r="BD81" s="289" t="str">
        <f t="shared" si="27"/>
        <v/>
      </c>
      <c r="BE81" s="289" t="str">
        <f t="shared" si="27"/>
        <v/>
      </c>
      <c r="BF81" s="292" t="str">
        <f t="shared" ref="BF81" si="40">IF(COUNTIF($G81:$AK81,BF$23)=0,"",COUNTIF($G81:$AK81,BF$23))</f>
        <v/>
      </c>
      <c r="BG81" s="156"/>
    </row>
    <row r="82" spans="5:59" ht="21" x14ac:dyDescent="0.25">
      <c r="E82" s="266"/>
      <c r="F82" s="133" t="s">
        <v>152</v>
      </c>
      <c r="G82" s="147"/>
      <c r="H82" s="147"/>
      <c r="I82" s="147"/>
      <c r="J82" s="147"/>
      <c r="K82" s="147"/>
      <c r="L82" s="147"/>
      <c r="M82" s="147"/>
      <c r="N82" s="147"/>
      <c r="O82" s="147"/>
      <c r="P82" s="147"/>
      <c r="Q82" s="147"/>
      <c r="R82" s="147"/>
      <c r="S82" s="147"/>
      <c r="T82" s="147"/>
      <c r="U82" s="147"/>
      <c r="V82" s="147"/>
      <c r="W82" s="147"/>
      <c r="X82" s="147"/>
      <c r="Y82" s="147"/>
      <c r="Z82" s="147"/>
      <c r="AA82" s="147"/>
      <c r="AB82" s="147"/>
      <c r="AC82" s="147"/>
      <c r="AD82" s="147"/>
      <c r="AE82" s="147"/>
      <c r="AF82" s="147"/>
      <c r="AG82" s="147"/>
      <c r="AH82" s="147"/>
      <c r="AI82" s="147"/>
      <c r="AJ82" s="147"/>
      <c r="AK82" s="340"/>
      <c r="AL82" s="328"/>
      <c r="AM82" s="331"/>
      <c r="AN82" s="334"/>
      <c r="AO82" s="337"/>
      <c r="AP82" s="296"/>
      <c r="AQ82" s="290"/>
      <c r="AR82" s="290"/>
      <c r="AS82" s="290"/>
      <c r="AT82" s="290"/>
      <c r="AU82" s="290"/>
      <c r="AV82" s="290"/>
      <c r="AW82" s="290"/>
      <c r="AX82" s="290"/>
      <c r="AY82" s="290"/>
      <c r="AZ82" s="290"/>
      <c r="BA82" s="290"/>
      <c r="BB82" s="290"/>
      <c r="BC82" s="290"/>
      <c r="BD82" s="290"/>
      <c r="BE82" s="290"/>
      <c r="BF82" s="293"/>
      <c r="BG82" s="156"/>
    </row>
    <row r="83" spans="5:59" ht="15" customHeight="1" x14ac:dyDescent="0.25">
      <c r="E83" s="266"/>
      <c r="F83" s="134" t="s">
        <v>146</v>
      </c>
      <c r="G83" s="147"/>
      <c r="H83" s="147"/>
      <c r="I83" s="147"/>
      <c r="J83" s="147"/>
      <c r="K83" s="147"/>
      <c r="L83" s="147"/>
      <c r="M83" s="147"/>
      <c r="N83" s="147"/>
      <c r="O83" s="147"/>
      <c r="P83" s="147"/>
      <c r="Q83" s="147"/>
      <c r="R83" s="147"/>
      <c r="S83" s="147"/>
      <c r="T83" s="147"/>
      <c r="U83" s="147"/>
      <c r="V83" s="147"/>
      <c r="W83" s="147"/>
      <c r="X83" s="147"/>
      <c r="Y83" s="147"/>
      <c r="Z83" s="147"/>
      <c r="AA83" s="147"/>
      <c r="AB83" s="147"/>
      <c r="AC83" s="147"/>
      <c r="AD83" s="147"/>
      <c r="AE83" s="147"/>
      <c r="AF83" s="147"/>
      <c r="AG83" s="147"/>
      <c r="AH83" s="147"/>
      <c r="AI83" s="147"/>
      <c r="AJ83" s="147"/>
      <c r="AK83" s="340"/>
      <c r="AL83" s="328"/>
      <c r="AM83" s="331"/>
      <c r="AN83" s="334"/>
      <c r="AO83" s="337"/>
      <c r="AP83" s="296"/>
      <c r="AQ83" s="290"/>
      <c r="AR83" s="290"/>
      <c r="AS83" s="290"/>
      <c r="AT83" s="290"/>
      <c r="AU83" s="290"/>
      <c r="AV83" s="290"/>
      <c r="AW83" s="290"/>
      <c r="AX83" s="290"/>
      <c r="AY83" s="290"/>
      <c r="AZ83" s="290"/>
      <c r="BA83" s="290"/>
      <c r="BB83" s="290"/>
      <c r="BC83" s="290"/>
      <c r="BD83" s="290"/>
      <c r="BE83" s="290"/>
      <c r="BF83" s="293"/>
      <c r="BG83" s="156"/>
    </row>
    <row r="84" spans="5:59" ht="15" customHeight="1" x14ac:dyDescent="0.25">
      <c r="E84" s="266"/>
      <c r="F84" s="134" t="s">
        <v>150</v>
      </c>
      <c r="G84" s="147"/>
      <c r="H84" s="147"/>
      <c r="I84" s="147"/>
      <c r="J84" s="147"/>
      <c r="K84" s="147"/>
      <c r="L84" s="147"/>
      <c r="M84" s="147"/>
      <c r="N84" s="147"/>
      <c r="O84" s="147"/>
      <c r="P84" s="147"/>
      <c r="Q84" s="147"/>
      <c r="R84" s="147"/>
      <c r="S84" s="147"/>
      <c r="T84" s="147"/>
      <c r="U84" s="147"/>
      <c r="V84" s="147"/>
      <c r="W84" s="147"/>
      <c r="X84" s="147"/>
      <c r="Y84" s="147"/>
      <c r="Z84" s="147"/>
      <c r="AA84" s="147"/>
      <c r="AB84" s="147"/>
      <c r="AC84" s="147"/>
      <c r="AD84" s="147"/>
      <c r="AE84" s="147"/>
      <c r="AF84" s="147"/>
      <c r="AG84" s="147"/>
      <c r="AH84" s="147"/>
      <c r="AI84" s="147"/>
      <c r="AJ84" s="147"/>
      <c r="AK84" s="340"/>
      <c r="AL84" s="328"/>
      <c r="AM84" s="331"/>
      <c r="AN84" s="334"/>
      <c r="AO84" s="337"/>
      <c r="AP84" s="296"/>
      <c r="AQ84" s="290"/>
      <c r="AR84" s="290"/>
      <c r="AS84" s="290"/>
      <c r="AT84" s="290"/>
      <c r="AU84" s="290"/>
      <c r="AV84" s="290"/>
      <c r="AW84" s="290"/>
      <c r="AX84" s="290"/>
      <c r="AY84" s="290"/>
      <c r="AZ84" s="290"/>
      <c r="BA84" s="290"/>
      <c r="BB84" s="290"/>
      <c r="BC84" s="290"/>
      <c r="BD84" s="290"/>
      <c r="BE84" s="290"/>
      <c r="BF84" s="293"/>
      <c r="BG84" s="156"/>
    </row>
    <row r="85" spans="5:59" ht="15" customHeight="1" x14ac:dyDescent="0.25">
      <c r="E85" s="266"/>
      <c r="F85" s="134" t="s">
        <v>68</v>
      </c>
      <c r="G85" s="147"/>
      <c r="H85" s="147"/>
      <c r="I85" s="147"/>
      <c r="J85" s="147"/>
      <c r="K85" s="147"/>
      <c r="L85" s="147"/>
      <c r="M85" s="147"/>
      <c r="N85" s="147"/>
      <c r="O85" s="147"/>
      <c r="P85" s="147"/>
      <c r="Q85" s="147"/>
      <c r="R85" s="147"/>
      <c r="S85" s="147"/>
      <c r="T85" s="147"/>
      <c r="U85" s="147"/>
      <c r="V85" s="147"/>
      <c r="W85" s="147"/>
      <c r="X85" s="147"/>
      <c r="Y85" s="147"/>
      <c r="Z85" s="147"/>
      <c r="AA85" s="147"/>
      <c r="AB85" s="147"/>
      <c r="AC85" s="147"/>
      <c r="AD85" s="147"/>
      <c r="AE85" s="147"/>
      <c r="AF85" s="147"/>
      <c r="AG85" s="147"/>
      <c r="AH85" s="147"/>
      <c r="AI85" s="147"/>
      <c r="AJ85" s="147"/>
      <c r="AK85" s="340"/>
      <c r="AL85" s="328"/>
      <c r="AM85" s="331"/>
      <c r="AN85" s="334"/>
      <c r="AO85" s="337"/>
      <c r="AP85" s="296"/>
      <c r="AQ85" s="290"/>
      <c r="AR85" s="290"/>
      <c r="AS85" s="290"/>
      <c r="AT85" s="290"/>
      <c r="AU85" s="290"/>
      <c r="AV85" s="290"/>
      <c r="AW85" s="290"/>
      <c r="AX85" s="290"/>
      <c r="AY85" s="290"/>
      <c r="AZ85" s="290"/>
      <c r="BA85" s="290"/>
      <c r="BB85" s="290"/>
      <c r="BC85" s="290"/>
      <c r="BD85" s="290"/>
      <c r="BE85" s="290"/>
      <c r="BF85" s="293"/>
      <c r="BG85" s="156"/>
    </row>
    <row r="86" spans="5:59" ht="15" customHeight="1" x14ac:dyDescent="0.25">
      <c r="E86" s="266"/>
      <c r="F86" s="135" t="s">
        <v>148</v>
      </c>
      <c r="G86" s="147"/>
      <c r="H86" s="147"/>
      <c r="I86" s="147"/>
      <c r="J86" s="147"/>
      <c r="K86" s="147"/>
      <c r="L86" s="147"/>
      <c r="M86" s="147"/>
      <c r="N86" s="147"/>
      <c r="O86" s="147"/>
      <c r="P86" s="147"/>
      <c r="Q86" s="147"/>
      <c r="R86" s="147"/>
      <c r="S86" s="147"/>
      <c r="T86" s="147"/>
      <c r="U86" s="147"/>
      <c r="V86" s="147"/>
      <c r="W86" s="147"/>
      <c r="X86" s="147"/>
      <c r="Y86" s="147"/>
      <c r="Z86" s="147"/>
      <c r="AA86" s="147"/>
      <c r="AB86" s="147"/>
      <c r="AC86" s="147"/>
      <c r="AD86" s="147"/>
      <c r="AE86" s="147"/>
      <c r="AF86" s="147"/>
      <c r="AG86" s="147"/>
      <c r="AH86" s="147"/>
      <c r="AI86" s="147"/>
      <c r="AJ86" s="147"/>
      <c r="AK86" s="340"/>
      <c r="AL86" s="328"/>
      <c r="AM86" s="331"/>
      <c r="AN86" s="334"/>
      <c r="AO86" s="337"/>
      <c r="AP86" s="296"/>
      <c r="AQ86" s="290"/>
      <c r="AR86" s="290"/>
      <c r="AS86" s="290"/>
      <c r="AT86" s="290"/>
      <c r="AU86" s="290"/>
      <c r="AV86" s="290"/>
      <c r="AW86" s="290"/>
      <c r="AX86" s="290"/>
      <c r="AY86" s="290"/>
      <c r="AZ86" s="290"/>
      <c r="BA86" s="290"/>
      <c r="BB86" s="290"/>
      <c r="BC86" s="290"/>
      <c r="BD86" s="290"/>
      <c r="BE86" s="290"/>
      <c r="BF86" s="293"/>
      <c r="BG86" s="156"/>
    </row>
    <row r="87" spans="5:59" ht="15.75" customHeight="1" thickBot="1" x14ac:dyDescent="0.3">
      <c r="E87" s="266"/>
      <c r="F87" s="140" t="s">
        <v>149</v>
      </c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  <c r="AH87" s="153"/>
      <c r="AI87" s="153"/>
      <c r="AJ87" s="153"/>
      <c r="AK87" s="340"/>
      <c r="AL87" s="328"/>
      <c r="AM87" s="332"/>
      <c r="AN87" s="335"/>
      <c r="AO87" s="338"/>
      <c r="AP87" s="297"/>
      <c r="AQ87" s="291"/>
      <c r="AR87" s="291"/>
      <c r="AS87" s="291"/>
      <c r="AT87" s="291"/>
      <c r="AU87" s="291"/>
      <c r="AV87" s="291"/>
      <c r="AW87" s="291"/>
      <c r="AX87" s="291"/>
      <c r="AY87" s="291"/>
      <c r="AZ87" s="291"/>
      <c r="BA87" s="291"/>
      <c r="BB87" s="291"/>
      <c r="BC87" s="291"/>
      <c r="BD87" s="291"/>
      <c r="BE87" s="291"/>
      <c r="BF87" s="294"/>
      <c r="BG87" s="156"/>
    </row>
    <row r="88" spans="5:59" ht="15" customHeight="1" x14ac:dyDescent="0.25">
      <c r="E88" s="288" t="s">
        <v>143</v>
      </c>
      <c r="F88" s="160" t="s">
        <v>147</v>
      </c>
      <c r="G88" s="161"/>
      <c r="H88" s="161"/>
      <c r="I88" s="161"/>
      <c r="J88" s="161"/>
      <c r="K88" s="161"/>
      <c r="L88" s="161"/>
      <c r="M88" s="161"/>
      <c r="N88" s="161"/>
      <c r="O88" s="161"/>
      <c r="P88" s="161"/>
      <c r="Q88" s="161"/>
      <c r="R88" s="161"/>
      <c r="S88" s="161"/>
      <c r="T88" s="161"/>
      <c r="U88" s="161"/>
      <c r="V88" s="161"/>
      <c r="W88" s="161"/>
      <c r="X88" s="161"/>
      <c r="Y88" s="161"/>
      <c r="Z88" s="161"/>
      <c r="AA88" s="161"/>
      <c r="AB88" s="161"/>
      <c r="AC88" s="161"/>
      <c r="AD88" s="161"/>
      <c r="AE88" s="161"/>
      <c r="AF88" s="161"/>
      <c r="AG88" s="161"/>
      <c r="AH88" s="161"/>
      <c r="AI88" s="161"/>
      <c r="AJ88" s="161"/>
      <c r="AK88" s="162"/>
      <c r="AL88" s="327">
        <f t="shared" ref="AL88" si="41">SUMIF(G88:AK88,"PE",G89:AK89)</f>
        <v>0</v>
      </c>
      <c r="AM88" s="330">
        <f t="shared" ref="AM88" si="42">SUMIF(G88:AK88,"PE",G92:AK92)</f>
        <v>0</v>
      </c>
      <c r="AN88" s="333">
        <f t="shared" ref="AN88" si="43">SUM(G93:AK93)</f>
        <v>0</v>
      </c>
      <c r="AO88" s="336">
        <f t="shared" ref="AO88" si="44">SUM(G94:AK94)</f>
        <v>0</v>
      </c>
      <c r="AP88" s="295" t="str">
        <f t="shared" ref="AP88:AQ88" si="45">IF(COUNTIF($G88:$AK88,AP$23)=0,"",COUNTIF($G88:$AK88,AP$23))</f>
        <v/>
      </c>
      <c r="AQ88" s="289" t="str">
        <f t="shared" si="45"/>
        <v/>
      </c>
      <c r="AR88" s="289" t="str">
        <f t="shared" si="27"/>
        <v/>
      </c>
      <c r="AS88" s="289" t="str">
        <f t="shared" si="27"/>
        <v/>
      </c>
      <c r="AT88" s="289" t="str">
        <f t="shared" si="27"/>
        <v/>
      </c>
      <c r="AU88" s="289" t="str">
        <f t="shared" si="27"/>
        <v/>
      </c>
      <c r="AV88" s="289" t="str">
        <f t="shared" si="27"/>
        <v/>
      </c>
      <c r="AW88" s="289" t="str">
        <f t="shared" si="27"/>
        <v/>
      </c>
      <c r="AX88" s="289" t="str">
        <f t="shared" si="27"/>
        <v/>
      </c>
      <c r="AY88" s="289" t="str">
        <f t="shared" si="27"/>
        <v/>
      </c>
      <c r="AZ88" s="289" t="str">
        <f t="shared" si="27"/>
        <v/>
      </c>
      <c r="BA88" s="289" t="str">
        <f t="shared" si="27"/>
        <v/>
      </c>
      <c r="BB88" s="289" t="str">
        <f t="shared" si="27"/>
        <v/>
      </c>
      <c r="BC88" s="289" t="str">
        <f t="shared" si="27"/>
        <v/>
      </c>
      <c r="BD88" s="289" t="str">
        <f t="shared" si="27"/>
        <v/>
      </c>
      <c r="BE88" s="289" t="str">
        <f t="shared" si="27"/>
        <v/>
      </c>
      <c r="BF88" s="292" t="str">
        <f t="shared" ref="BF88" si="46">IF(COUNTIF($G88:$AK88,BF$23)=0,"",COUNTIF($G88:$AK88,BF$23))</f>
        <v/>
      </c>
      <c r="BG88" s="156"/>
    </row>
    <row r="89" spans="5:59" ht="21" x14ac:dyDescent="0.25">
      <c r="E89" s="266"/>
      <c r="F89" s="133" t="s">
        <v>152</v>
      </c>
      <c r="G89" s="147"/>
      <c r="H89" s="147"/>
      <c r="I89" s="147"/>
      <c r="J89" s="147"/>
      <c r="K89" s="147"/>
      <c r="L89" s="147"/>
      <c r="M89" s="147"/>
      <c r="N89" s="147"/>
      <c r="O89" s="147"/>
      <c r="P89" s="147"/>
      <c r="Q89" s="147"/>
      <c r="R89" s="147"/>
      <c r="S89" s="147"/>
      <c r="T89" s="147"/>
      <c r="U89" s="147"/>
      <c r="V89" s="147"/>
      <c r="W89" s="147"/>
      <c r="X89" s="147"/>
      <c r="Y89" s="147"/>
      <c r="Z89" s="147"/>
      <c r="AA89" s="147"/>
      <c r="AB89" s="147"/>
      <c r="AC89" s="147"/>
      <c r="AD89" s="147"/>
      <c r="AE89" s="147"/>
      <c r="AF89" s="147"/>
      <c r="AG89" s="147"/>
      <c r="AH89" s="147"/>
      <c r="AI89" s="147"/>
      <c r="AJ89" s="147"/>
      <c r="AK89" s="148"/>
      <c r="AL89" s="328"/>
      <c r="AM89" s="331"/>
      <c r="AN89" s="334"/>
      <c r="AO89" s="337"/>
      <c r="AP89" s="296"/>
      <c r="AQ89" s="290"/>
      <c r="AR89" s="290"/>
      <c r="AS89" s="290"/>
      <c r="AT89" s="290"/>
      <c r="AU89" s="290"/>
      <c r="AV89" s="290"/>
      <c r="AW89" s="290"/>
      <c r="AX89" s="290"/>
      <c r="AY89" s="290"/>
      <c r="AZ89" s="290"/>
      <c r="BA89" s="290"/>
      <c r="BB89" s="290"/>
      <c r="BC89" s="290"/>
      <c r="BD89" s="290"/>
      <c r="BE89" s="290"/>
      <c r="BF89" s="293"/>
      <c r="BG89" s="156"/>
    </row>
    <row r="90" spans="5:59" ht="15" customHeight="1" x14ac:dyDescent="0.25">
      <c r="E90" s="266"/>
      <c r="F90" s="134" t="s">
        <v>146</v>
      </c>
      <c r="G90" s="147"/>
      <c r="H90" s="147"/>
      <c r="I90" s="147"/>
      <c r="J90" s="147"/>
      <c r="K90" s="147"/>
      <c r="L90" s="147"/>
      <c r="M90" s="147"/>
      <c r="N90" s="147"/>
      <c r="O90" s="147"/>
      <c r="P90" s="147"/>
      <c r="Q90" s="147"/>
      <c r="R90" s="147"/>
      <c r="S90" s="147"/>
      <c r="T90" s="147"/>
      <c r="U90" s="147"/>
      <c r="V90" s="147"/>
      <c r="W90" s="147"/>
      <c r="X90" s="147"/>
      <c r="Y90" s="147"/>
      <c r="Z90" s="147"/>
      <c r="AA90" s="147"/>
      <c r="AB90" s="147"/>
      <c r="AC90" s="147"/>
      <c r="AD90" s="147"/>
      <c r="AE90" s="147"/>
      <c r="AF90" s="147"/>
      <c r="AG90" s="147"/>
      <c r="AH90" s="147"/>
      <c r="AI90" s="147"/>
      <c r="AJ90" s="147"/>
      <c r="AK90" s="148"/>
      <c r="AL90" s="328"/>
      <c r="AM90" s="331"/>
      <c r="AN90" s="334"/>
      <c r="AO90" s="337"/>
      <c r="AP90" s="296"/>
      <c r="AQ90" s="290"/>
      <c r="AR90" s="290"/>
      <c r="AS90" s="290"/>
      <c r="AT90" s="290"/>
      <c r="AU90" s="290"/>
      <c r="AV90" s="290"/>
      <c r="AW90" s="290"/>
      <c r="AX90" s="290"/>
      <c r="AY90" s="290"/>
      <c r="AZ90" s="290"/>
      <c r="BA90" s="290"/>
      <c r="BB90" s="290"/>
      <c r="BC90" s="290"/>
      <c r="BD90" s="290"/>
      <c r="BE90" s="290"/>
      <c r="BF90" s="293"/>
      <c r="BG90" s="156"/>
    </row>
    <row r="91" spans="5:59" ht="15" customHeight="1" x14ac:dyDescent="0.25">
      <c r="E91" s="266"/>
      <c r="F91" s="134" t="s">
        <v>150</v>
      </c>
      <c r="G91" s="147"/>
      <c r="H91" s="147"/>
      <c r="I91" s="147"/>
      <c r="J91" s="147"/>
      <c r="K91" s="147"/>
      <c r="L91" s="147"/>
      <c r="M91" s="147"/>
      <c r="N91" s="147"/>
      <c r="O91" s="147"/>
      <c r="P91" s="147"/>
      <c r="Q91" s="147"/>
      <c r="R91" s="147"/>
      <c r="S91" s="147"/>
      <c r="T91" s="147"/>
      <c r="U91" s="147"/>
      <c r="V91" s="147"/>
      <c r="W91" s="147"/>
      <c r="X91" s="147"/>
      <c r="Y91" s="147"/>
      <c r="Z91" s="147"/>
      <c r="AA91" s="147"/>
      <c r="AB91" s="147"/>
      <c r="AC91" s="147"/>
      <c r="AD91" s="147"/>
      <c r="AE91" s="147"/>
      <c r="AF91" s="147"/>
      <c r="AG91" s="147"/>
      <c r="AH91" s="147"/>
      <c r="AI91" s="147"/>
      <c r="AJ91" s="147"/>
      <c r="AK91" s="148"/>
      <c r="AL91" s="328"/>
      <c r="AM91" s="331"/>
      <c r="AN91" s="334"/>
      <c r="AO91" s="337"/>
      <c r="AP91" s="296"/>
      <c r="AQ91" s="290"/>
      <c r="AR91" s="290"/>
      <c r="AS91" s="290"/>
      <c r="AT91" s="290"/>
      <c r="AU91" s="290"/>
      <c r="AV91" s="290"/>
      <c r="AW91" s="290"/>
      <c r="AX91" s="290"/>
      <c r="AY91" s="290"/>
      <c r="AZ91" s="290"/>
      <c r="BA91" s="290"/>
      <c r="BB91" s="290"/>
      <c r="BC91" s="290"/>
      <c r="BD91" s="290"/>
      <c r="BE91" s="290"/>
      <c r="BF91" s="293"/>
      <c r="BG91" s="156"/>
    </row>
    <row r="92" spans="5:59" ht="15" customHeight="1" x14ac:dyDescent="0.25">
      <c r="E92" s="266"/>
      <c r="F92" s="134" t="s">
        <v>68</v>
      </c>
      <c r="G92" s="147"/>
      <c r="H92" s="147"/>
      <c r="I92" s="147"/>
      <c r="J92" s="147"/>
      <c r="K92" s="147"/>
      <c r="L92" s="147"/>
      <c r="M92" s="147"/>
      <c r="N92" s="147"/>
      <c r="O92" s="147"/>
      <c r="P92" s="147"/>
      <c r="Q92" s="147"/>
      <c r="R92" s="147"/>
      <c r="S92" s="147"/>
      <c r="T92" s="147"/>
      <c r="U92" s="147"/>
      <c r="V92" s="147"/>
      <c r="W92" s="147"/>
      <c r="X92" s="147"/>
      <c r="Y92" s="147"/>
      <c r="Z92" s="147"/>
      <c r="AA92" s="147"/>
      <c r="AB92" s="147"/>
      <c r="AC92" s="147"/>
      <c r="AD92" s="147"/>
      <c r="AE92" s="147"/>
      <c r="AF92" s="147"/>
      <c r="AG92" s="147"/>
      <c r="AH92" s="147"/>
      <c r="AI92" s="147"/>
      <c r="AJ92" s="147"/>
      <c r="AK92" s="148"/>
      <c r="AL92" s="328"/>
      <c r="AM92" s="331"/>
      <c r="AN92" s="334"/>
      <c r="AO92" s="337"/>
      <c r="AP92" s="296"/>
      <c r="AQ92" s="290"/>
      <c r="AR92" s="290"/>
      <c r="AS92" s="290"/>
      <c r="AT92" s="290"/>
      <c r="AU92" s="290"/>
      <c r="AV92" s="290"/>
      <c r="AW92" s="290"/>
      <c r="AX92" s="290"/>
      <c r="AY92" s="290"/>
      <c r="AZ92" s="290"/>
      <c r="BA92" s="290"/>
      <c r="BB92" s="290"/>
      <c r="BC92" s="290"/>
      <c r="BD92" s="290"/>
      <c r="BE92" s="290"/>
      <c r="BF92" s="293"/>
      <c r="BG92" s="156"/>
    </row>
    <row r="93" spans="5:59" ht="15" customHeight="1" x14ac:dyDescent="0.25">
      <c r="E93" s="266"/>
      <c r="F93" s="135" t="s">
        <v>148</v>
      </c>
      <c r="G93" s="147"/>
      <c r="H93" s="147"/>
      <c r="I93" s="147"/>
      <c r="J93" s="147"/>
      <c r="K93" s="147"/>
      <c r="L93" s="147"/>
      <c r="M93" s="147"/>
      <c r="N93" s="147"/>
      <c r="O93" s="147"/>
      <c r="P93" s="147"/>
      <c r="Q93" s="147"/>
      <c r="R93" s="147"/>
      <c r="S93" s="147"/>
      <c r="T93" s="147"/>
      <c r="U93" s="147"/>
      <c r="V93" s="147"/>
      <c r="W93" s="147"/>
      <c r="X93" s="147"/>
      <c r="Y93" s="147"/>
      <c r="Z93" s="147"/>
      <c r="AA93" s="147"/>
      <c r="AB93" s="147"/>
      <c r="AC93" s="147"/>
      <c r="AD93" s="147"/>
      <c r="AE93" s="147"/>
      <c r="AF93" s="147"/>
      <c r="AG93" s="147"/>
      <c r="AH93" s="147"/>
      <c r="AI93" s="147"/>
      <c r="AJ93" s="147"/>
      <c r="AK93" s="148"/>
      <c r="AL93" s="328"/>
      <c r="AM93" s="331"/>
      <c r="AN93" s="334"/>
      <c r="AO93" s="337"/>
      <c r="AP93" s="296"/>
      <c r="AQ93" s="290"/>
      <c r="AR93" s="290"/>
      <c r="AS93" s="290"/>
      <c r="AT93" s="290"/>
      <c r="AU93" s="290"/>
      <c r="AV93" s="290"/>
      <c r="AW93" s="290"/>
      <c r="AX93" s="290"/>
      <c r="AY93" s="290"/>
      <c r="AZ93" s="290"/>
      <c r="BA93" s="290"/>
      <c r="BB93" s="290"/>
      <c r="BC93" s="290"/>
      <c r="BD93" s="290"/>
      <c r="BE93" s="290"/>
      <c r="BF93" s="293"/>
      <c r="BG93" s="156"/>
    </row>
    <row r="94" spans="5:59" ht="15.75" customHeight="1" thickBot="1" x14ac:dyDescent="0.3">
      <c r="E94" s="266"/>
      <c r="F94" s="140" t="s">
        <v>149</v>
      </c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  <c r="AH94" s="153"/>
      <c r="AI94" s="153"/>
      <c r="AJ94" s="153"/>
      <c r="AK94" s="155"/>
      <c r="AL94" s="329"/>
      <c r="AM94" s="332"/>
      <c r="AN94" s="335"/>
      <c r="AO94" s="338"/>
      <c r="AP94" s="297"/>
      <c r="AQ94" s="291"/>
      <c r="AR94" s="291"/>
      <c r="AS94" s="291"/>
      <c r="AT94" s="291"/>
      <c r="AU94" s="291"/>
      <c r="AV94" s="291"/>
      <c r="AW94" s="291"/>
      <c r="AX94" s="291"/>
      <c r="AY94" s="291"/>
      <c r="AZ94" s="291"/>
      <c r="BA94" s="291"/>
      <c r="BB94" s="291"/>
      <c r="BC94" s="291"/>
      <c r="BD94" s="291"/>
      <c r="BE94" s="291"/>
      <c r="BF94" s="294"/>
      <c r="BG94" s="156"/>
    </row>
    <row r="95" spans="5:59" ht="15" customHeight="1" x14ac:dyDescent="0.25">
      <c r="E95" s="265" t="s">
        <v>144</v>
      </c>
      <c r="F95" s="136" t="s">
        <v>147</v>
      </c>
      <c r="G95" s="151"/>
      <c r="H95" s="151"/>
      <c r="I95" s="151"/>
      <c r="J95" s="151"/>
      <c r="K95" s="151"/>
      <c r="L95" s="151"/>
      <c r="M95" s="151"/>
      <c r="N95" s="151"/>
      <c r="O95" s="151"/>
      <c r="P95" s="151"/>
      <c r="Q95" s="151"/>
      <c r="R95" s="151"/>
      <c r="S95" s="151"/>
      <c r="T95" s="151"/>
      <c r="U95" s="151"/>
      <c r="V95" s="151"/>
      <c r="W95" s="151"/>
      <c r="X95" s="151"/>
      <c r="Y95" s="151"/>
      <c r="Z95" s="151"/>
      <c r="AA95" s="151"/>
      <c r="AB95" s="151"/>
      <c r="AC95" s="151"/>
      <c r="AD95" s="151"/>
      <c r="AE95" s="151"/>
      <c r="AF95" s="151"/>
      <c r="AG95" s="151"/>
      <c r="AH95" s="151"/>
      <c r="AI95" s="151"/>
      <c r="AJ95" s="151"/>
      <c r="AK95" s="339"/>
      <c r="AL95" s="327">
        <f t="shared" ref="AL95" si="47">SUMIF(G95:AK95,"PE",G96:AK96)</f>
        <v>0</v>
      </c>
      <c r="AM95" s="330">
        <f t="shared" ref="AM95" si="48">SUMIF(G95:AK95,"PE",G99:AK99)</f>
        <v>0</v>
      </c>
      <c r="AN95" s="333">
        <f t="shared" ref="AN95" si="49">SUM(G100:AK100)</f>
        <v>0</v>
      </c>
      <c r="AO95" s="336">
        <f t="shared" ref="AO95" si="50">SUM(G101:AK101)</f>
        <v>0</v>
      </c>
      <c r="AP95" s="295" t="str">
        <f t="shared" ref="AP95:AQ95" si="51">IF(COUNTIF($G95:$AK95,AP$23)=0,"",COUNTIF($G95:$AK95,AP$23))</f>
        <v/>
      </c>
      <c r="AQ95" s="289" t="str">
        <f t="shared" si="51"/>
        <v/>
      </c>
      <c r="AR95" s="289" t="str">
        <f t="shared" si="27"/>
        <v/>
      </c>
      <c r="AS95" s="289" t="str">
        <f t="shared" si="27"/>
        <v/>
      </c>
      <c r="AT95" s="289" t="str">
        <f t="shared" si="27"/>
        <v/>
      </c>
      <c r="AU95" s="289" t="str">
        <f t="shared" si="27"/>
        <v/>
      </c>
      <c r="AV95" s="289" t="str">
        <f t="shared" si="27"/>
        <v/>
      </c>
      <c r="AW95" s="289" t="str">
        <f t="shared" si="27"/>
        <v/>
      </c>
      <c r="AX95" s="289" t="str">
        <f t="shared" si="27"/>
        <v/>
      </c>
      <c r="AY95" s="289" t="str">
        <f t="shared" si="27"/>
        <v/>
      </c>
      <c r="AZ95" s="289" t="str">
        <f t="shared" si="27"/>
        <v/>
      </c>
      <c r="BA95" s="289" t="str">
        <f t="shared" si="27"/>
        <v/>
      </c>
      <c r="BB95" s="289" t="str">
        <f t="shared" si="27"/>
        <v/>
      </c>
      <c r="BC95" s="289" t="str">
        <f t="shared" si="27"/>
        <v/>
      </c>
      <c r="BD95" s="289" t="str">
        <f t="shared" si="27"/>
        <v/>
      </c>
      <c r="BE95" s="289" t="str">
        <f t="shared" si="27"/>
        <v/>
      </c>
      <c r="BF95" s="292" t="str">
        <f t="shared" ref="BF95" si="52">IF(COUNTIF($G95:$AK95,BF$23)=0,"",COUNTIF($G95:$AK95,BF$23))</f>
        <v/>
      </c>
      <c r="BG95" s="156"/>
    </row>
    <row r="96" spans="5:59" ht="21" x14ac:dyDescent="0.25">
      <c r="E96" s="266"/>
      <c r="F96" s="133" t="s">
        <v>152</v>
      </c>
      <c r="G96" s="147"/>
      <c r="H96" s="147"/>
      <c r="I96" s="147"/>
      <c r="J96" s="147"/>
      <c r="K96" s="147"/>
      <c r="L96" s="147"/>
      <c r="M96" s="147"/>
      <c r="N96" s="147"/>
      <c r="O96" s="147"/>
      <c r="P96" s="147"/>
      <c r="Q96" s="147"/>
      <c r="R96" s="147"/>
      <c r="S96" s="147"/>
      <c r="T96" s="147"/>
      <c r="U96" s="147"/>
      <c r="V96" s="147"/>
      <c r="W96" s="147"/>
      <c r="X96" s="147"/>
      <c r="Y96" s="147"/>
      <c r="Z96" s="147"/>
      <c r="AA96" s="147"/>
      <c r="AB96" s="147"/>
      <c r="AC96" s="147"/>
      <c r="AD96" s="147"/>
      <c r="AE96" s="147"/>
      <c r="AF96" s="147"/>
      <c r="AG96" s="147"/>
      <c r="AH96" s="147"/>
      <c r="AI96" s="147"/>
      <c r="AJ96" s="147"/>
      <c r="AK96" s="340"/>
      <c r="AL96" s="328"/>
      <c r="AM96" s="331"/>
      <c r="AN96" s="334"/>
      <c r="AO96" s="337"/>
      <c r="AP96" s="296"/>
      <c r="AQ96" s="290"/>
      <c r="AR96" s="290"/>
      <c r="AS96" s="290"/>
      <c r="AT96" s="290"/>
      <c r="AU96" s="290"/>
      <c r="AV96" s="290"/>
      <c r="AW96" s="290"/>
      <c r="AX96" s="290"/>
      <c r="AY96" s="290"/>
      <c r="AZ96" s="290"/>
      <c r="BA96" s="290"/>
      <c r="BB96" s="290"/>
      <c r="BC96" s="290"/>
      <c r="BD96" s="290"/>
      <c r="BE96" s="290"/>
      <c r="BF96" s="293"/>
      <c r="BG96" s="156"/>
    </row>
    <row r="97" spans="5:59" ht="15" customHeight="1" x14ac:dyDescent="0.25">
      <c r="E97" s="266"/>
      <c r="F97" s="134" t="s">
        <v>146</v>
      </c>
      <c r="G97" s="147"/>
      <c r="H97" s="147"/>
      <c r="I97" s="147"/>
      <c r="J97" s="147"/>
      <c r="K97" s="147"/>
      <c r="L97" s="147"/>
      <c r="M97" s="147"/>
      <c r="N97" s="147"/>
      <c r="O97" s="147"/>
      <c r="P97" s="147"/>
      <c r="Q97" s="147"/>
      <c r="R97" s="147"/>
      <c r="S97" s="147"/>
      <c r="T97" s="147"/>
      <c r="U97" s="147"/>
      <c r="V97" s="147"/>
      <c r="W97" s="147"/>
      <c r="X97" s="147"/>
      <c r="Y97" s="147"/>
      <c r="Z97" s="147"/>
      <c r="AA97" s="147"/>
      <c r="AB97" s="147"/>
      <c r="AC97" s="147"/>
      <c r="AD97" s="147"/>
      <c r="AE97" s="147"/>
      <c r="AF97" s="147"/>
      <c r="AG97" s="147"/>
      <c r="AH97" s="147"/>
      <c r="AI97" s="147"/>
      <c r="AJ97" s="147"/>
      <c r="AK97" s="340"/>
      <c r="AL97" s="328"/>
      <c r="AM97" s="331"/>
      <c r="AN97" s="334"/>
      <c r="AO97" s="337"/>
      <c r="AP97" s="296"/>
      <c r="AQ97" s="290"/>
      <c r="AR97" s="290"/>
      <c r="AS97" s="290"/>
      <c r="AT97" s="290"/>
      <c r="AU97" s="290"/>
      <c r="AV97" s="290"/>
      <c r="AW97" s="290"/>
      <c r="AX97" s="290"/>
      <c r="AY97" s="290"/>
      <c r="AZ97" s="290"/>
      <c r="BA97" s="290"/>
      <c r="BB97" s="290"/>
      <c r="BC97" s="290"/>
      <c r="BD97" s="290"/>
      <c r="BE97" s="290"/>
      <c r="BF97" s="293"/>
      <c r="BG97" s="156"/>
    </row>
    <row r="98" spans="5:59" ht="15" customHeight="1" x14ac:dyDescent="0.25">
      <c r="E98" s="266"/>
      <c r="F98" s="134" t="s">
        <v>150</v>
      </c>
      <c r="G98" s="147"/>
      <c r="H98" s="147"/>
      <c r="I98" s="147"/>
      <c r="J98" s="147"/>
      <c r="K98" s="147"/>
      <c r="L98" s="147"/>
      <c r="M98" s="147"/>
      <c r="N98" s="147"/>
      <c r="O98" s="147"/>
      <c r="P98" s="147"/>
      <c r="Q98" s="147"/>
      <c r="R98" s="147"/>
      <c r="S98" s="147"/>
      <c r="T98" s="147"/>
      <c r="U98" s="147"/>
      <c r="V98" s="147"/>
      <c r="W98" s="147"/>
      <c r="X98" s="147"/>
      <c r="Y98" s="147"/>
      <c r="Z98" s="147"/>
      <c r="AA98" s="147"/>
      <c r="AB98" s="147"/>
      <c r="AC98" s="147"/>
      <c r="AD98" s="147"/>
      <c r="AE98" s="147"/>
      <c r="AF98" s="147"/>
      <c r="AG98" s="147"/>
      <c r="AH98" s="147"/>
      <c r="AI98" s="147"/>
      <c r="AJ98" s="147"/>
      <c r="AK98" s="340"/>
      <c r="AL98" s="328"/>
      <c r="AM98" s="331"/>
      <c r="AN98" s="334"/>
      <c r="AO98" s="337"/>
      <c r="AP98" s="296"/>
      <c r="AQ98" s="290"/>
      <c r="AR98" s="290"/>
      <c r="AS98" s="290"/>
      <c r="AT98" s="290"/>
      <c r="AU98" s="290"/>
      <c r="AV98" s="290"/>
      <c r="AW98" s="290"/>
      <c r="AX98" s="290"/>
      <c r="AY98" s="290"/>
      <c r="AZ98" s="290"/>
      <c r="BA98" s="290"/>
      <c r="BB98" s="290"/>
      <c r="BC98" s="290"/>
      <c r="BD98" s="290"/>
      <c r="BE98" s="290"/>
      <c r="BF98" s="293"/>
      <c r="BG98" s="156"/>
    </row>
    <row r="99" spans="5:59" ht="15" customHeight="1" x14ac:dyDescent="0.25">
      <c r="E99" s="266"/>
      <c r="F99" s="134" t="s">
        <v>68</v>
      </c>
      <c r="G99" s="147"/>
      <c r="H99" s="147"/>
      <c r="I99" s="147"/>
      <c r="J99" s="147"/>
      <c r="K99" s="147"/>
      <c r="L99" s="147"/>
      <c r="M99" s="147"/>
      <c r="N99" s="147"/>
      <c r="O99" s="147"/>
      <c r="P99" s="147"/>
      <c r="Q99" s="147"/>
      <c r="R99" s="147"/>
      <c r="S99" s="147"/>
      <c r="T99" s="147"/>
      <c r="U99" s="147"/>
      <c r="V99" s="147"/>
      <c r="W99" s="147"/>
      <c r="X99" s="147"/>
      <c r="Y99" s="147"/>
      <c r="Z99" s="147"/>
      <c r="AA99" s="147"/>
      <c r="AB99" s="147"/>
      <c r="AC99" s="147"/>
      <c r="AD99" s="147"/>
      <c r="AE99" s="147"/>
      <c r="AF99" s="147"/>
      <c r="AG99" s="147"/>
      <c r="AH99" s="147"/>
      <c r="AI99" s="147"/>
      <c r="AJ99" s="147"/>
      <c r="AK99" s="340"/>
      <c r="AL99" s="328"/>
      <c r="AM99" s="331"/>
      <c r="AN99" s="334"/>
      <c r="AO99" s="337"/>
      <c r="AP99" s="296"/>
      <c r="AQ99" s="290"/>
      <c r="AR99" s="290"/>
      <c r="AS99" s="290"/>
      <c r="AT99" s="290"/>
      <c r="AU99" s="290"/>
      <c r="AV99" s="290"/>
      <c r="AW99" s="290"/>
      <c r="AX99" s="290"/>
      <c r="AY99" s="290"/>
      <c r="AZ99" s="290"/>
      <c r="BA99" s="290"/>
      <c r="BB99" s="290"/>
      <c r="BC99" s="290"/>
      <c r="BD99" s="290"/>
      <c r="BE99" s="290"/>
      <c r="BF99" s="293"/>
      <c r="BG99" s="156"/>
    </row>
    <row r="100" spans="5:59" ht="15" customHeight="1" x14ac:dyDescent="0.25">
      <c r="E100" s="266"/>
      <c r="F100" s="135" t="s">
        <v>148</v>
      </c>
      <c r="G100" s="147"/>
      <c r="H100" s="147"/>
      <c r="I100" s="147"/>
      <c r="J100" s="147"/>
      <c r="K100" s="147"/>
      <c r="L100" s="147"/>
      <c r="M100" s="147"/>
      <c r="N100" s="147"/>
      <c r="O100" s="147"/>
      <c r="P100" s="147"/>
      <c r="Q100" s="147"/>
      <c r="R100" s="147"/>
      <c r="S100" s="147"/>
      <c r="T100" s="147"/>
      <c r="U100" s="147"/>
      <c r="V100" s="147"/>
      <c r="W100" s="147"/>
      <c r="X100" s="147"/>
      <c r="Y100" s="147"/>
      <c r="Z100" s="147"/>
      <c r="AA100" s="147"/>
      <c r="AB100" s="147"/>
      <c r="AC100" s="147"/>
      <c r="AD100" s="147"/>
      <c r="AE100" s="147"/>
      <c r="AF100" s="147"/>
      <c r="AG100" s="147"/>
      <c r="AH100" s="147"/>
      <c r="AI100" s="147"/>
      <c r="AJ100" s="147"/>
      <c r="AK100" s="340"/>
      <c r="AL100" s="328"/>
      <c r="AM100" s="331"/>
      <c r="AN100" s="334"/>
      <c r="AO100" s="337"/>
      <c r="AP100" s="296"/>
      <c r="AQ100" s="290"/>
      <c r="AR100" s="290"/>
      <c r="AS100" s="290"/>
      <c r="AT100" s="290"/>
      <c r="AU100" s="290"/>
      <c r="AV100" s="290"/>
      <c r="AW100" s="290"/>
      <c r="AX100" s="290"/>
      <c r="AY100" s="290"/>
      <c r="AZ100" s="290"/>
      <c r="BA100" s="290"/>
      <c r="BB100" s="290"/>
      <c r="BC100" s="290"/>
      <c r="BD100" s="290"/>
      <c r="BE100" s="290"/>
      <c r="BF100" s="293"/>
      <c r="BG100" s="156"/>
    </row>
    <row r="101" spans="5:59" ht="15.75" customHeight="1" thickBot="1" x14ac:dyDescent="0.3">
      <c r="E101" s="267"/>
      <c r="F101" s="139" t="s">
        <v>149</v>
      </c>
      <c r="G101" s="149"/>
      <c r="H101" s="149"/>
      <c r="I101" s="149"/>
      <c r="J101" s="149"/>
      <c r="K101" s="149"/>
      <c r="L101" s="149"/>
      <c r="M101" s="149"/>
      <c r="N101" s="149"/>
      <c r="O101" s="149"/>
      <c r="P101" s="149"/>
      <c r="Q101" s="149"/>
      <c r="R101" s="149"/>
      <c r="S101" s="149"/>
      <c r="T101" s="149"/>
      <c r="U101" s="149"/>
      <c r="V101" s="149"/>
      <c r="W101" s="149"/>
      <c r="X101" s="149"/>
      <c r="Y101" s="149"/>
      <c r="Z101" s="149"/>
      <c r="AA101" s="149"/>
      <c r="AB101" s="149"/>
      <c r="AC101" s="149"/>
      <c r="AD101" s="149"/>
      <c r="AE101" s="149"/>
      <c r="AF101" s="149"/>
      <c r="AG101" s="149"/>
      <c r="AH101" s="149"/>
      <c r="AI101" s="149"/>
      <c r="AJ101" s="149"/>
      <c r="AK101" s="341"/>
      <c r="AL101" s="329"/>
      <c r="AM101" s="332"/>
      <c r="AN101" s="335"/>
      <c r="AO101" s="338"/>
      <c r="AP101" s="297"/>
      <c r="AQ101" s="291"/>
      <c r="AR101" s="291"/>
      <c r="AS101" s="291"/>
      <c r="AT101" s="291"/>
      <c r="AU101" s="291"/>
      <c r="AV101" s="291"/>
      <c r="AW101" s="291"/>
      <c r="AX101" s="291"/>
      <c r="AY101" s="291"/>
      <c r="AZ101" s="291"/>
      <c r="BA101" s="291"/>
      <c r="BB101" s="291"/>
      <c r="BC101" s="291"/>
      <c r="BD101" s="291"/>
      <c r="BE101" s="291"/>
      <c r="BF101" s="294"/>
      <c r="BG101" s="156"/>
    </row>
    <row r="102" spans="5:59" ht="15" customHeight="1" x14ac:dyDescent="0.25">
      <c r="E102" s="282" t="s">
        <v>145</v>
      </c>
      <c r="F102" s="136" t="s">
        <v>147</v>
      </c>
      <c r="G102" s="151"/>
      <c r="H102" s="151"/>
      <c r="I102" s="151"/>
      <c r="J102" s="151"/>
      <c r="K102" s="151"/>
      <c r="L102" s="151"/>
      <c r="M102" s="151"/>
      <c r="N102" s="151"/>
      <c r="O102" s="151"/>
      <c r="P102" s="151"/>
      <c r="Q102" s="151"/>
      <c r="R102" s="151"/>
      <c r="S102" s="151"/>
      <c r="T102" s="151"/>
      <c r="U102" s="151"/>
      <c r="V102" s="151"/>
      <c r="W102" s="151"/>
      <c r="X102" s="151"/>
      <c r="Y102" s="151"/>
      <c r="Z102" s="151"/>
      <c r="AA102" s="151"/>
      <c r="AB102" s="151"/>
      <c r="AC102" s="151"/>
      <c r="AD102" s="151"/>
      <c r="AE102" s="151"/>
      <c r="AF102" s="151"/>
      <c r="AG102" s="151"/>
      <c r="AH102" s="151"/>
      <c r="AI102" s="151"/>
      <c r="AJ102" s="151"/>
      <c r="AK102" s="154"/>
      <c r="AL102" s="327">
        <f t="shared" ref="AL102" si="53">SUMIF(G102:AK102,"PE",G103:AK103)</f>
        <v>0</v>
      </c>
      <c r="AM102" s="330">
        <f t="shared" ref="AM102" si="54">SUMIF(G102:AK102,"PE",G106:AK106)</f>
        <v>0</v>
      </c>
      <c r="AN102" s="333">
        <f t="shared" ref="AN102" si="55">SUM(G107:AK107)</f>
        <v>0</v>
      </c>
      <c r="AO102" s="336">
        <f t="shared" ref="AO102" si="56">SUM(G108:AK108)</f>
        <v>0</v>
      </c>
      <c r="AP102" s="295" t="str">
        <f t="shared" ref="AP102:AQ102" si="57">IF(COUNTIF($G102:$AK102,AP$23)=0,"",COUNTIF($G102:$AK102,AP$23))</f>
        <v/>
      </c>
      <c r="AQ102" s="289" t="str">
        <f t="shared" si="57"/>
        <v/>
      </c>
      <c r="AR102" s="289" t="str">
        <f t="shared" si="27"/>
        <v/>
      </c>
      <c r="AS102" s="289" t="str">
        <f t="shared" si="27"/>
        <v/>
      </c>
      <c r="AT102" s="289" t="str">
        <f t="shared" si="27"/>
        <v/>
      </c>
      <c r="AU102" s="289" t="str">
        <f t="shared" si="27"/>
        <v/>
      </c>
      <c r="AV102" s="289" t="str">
        <f t="shared" si="27"/>
        <v/>
      </c>
      <c r="AW102" s="289" t="str">
        <f t="shared" si="27"/>
        <v/>
      </c>
      <c r="AX102" s="289" t="str">
        <f t="shared" si="27"/>
        <v/>
      </c>
      <c r="AY102" s="289" t="str">
        <f t="shared" si="27"/>
        <v/>
      </c>
      <c r="AZ102" s="289" t="str">
        <f t="shared" si="27"/>
        <v/>
      </c>
      <c r="BA102" s="289" t="str">
        <f t="shared" si="27"/>
        <v/>
      </c>
      <c r="BB102" s="289" t="str">
        <f t="shared" si="27"/>
        <v/>
      </c>
      <c r="BC102" s="289" t="str">
        <f t="shared" si="27"/>
        <v/>
      </c>
      <c r="BD102" s="289" t="str">
        <f t="shared" si="27"/>
        <v/>
      </c>
      <c r="BE102" s="289" t="str">
        <f t="shared" si="27"/>
        <v/>
      </c>
      <c r="BF102" s="292" t="str">
        <f t="shared" ref="BF102" si="58">IF(COUNTIF($G102:$AK102,BF$23)=0,"",COUNTIF($G102:$AK102,BF$23))</f>
        <v/>
      </c>
      <c r="BG102" s="156"/>
    </row>
    <row r="103" spans="5:59" ht="21" x14ac:dyDescent="0.25">
      <c r="E103" s="283"/>
      <c r="F103" s="133" t="s">
        <v>152</v>
      </c>
      <c r="G103" s="147"/>
      <c r="H103" s="147"/>
      <c r="I103" s="147"/>
      <c r="J103" s="147"/>
      <c r="K103" s="147"/>
      <c r="L103" s="147"/>
      <c r="M103" s="147"/>
      <c r="N103" s="147"/>
      <c r="O103" s="147"/>
      <c r="P103" s="147"/>
      <c r="Q103" s="147"/>
      <c r="R103" s="147"/>
      <c r="S103" s="147"/>
      <c r="T103" s="147"/>
      <c r="U103" s="147"/>
      <c r="V103" s="147"/>
      <c r="W103" s="147"/>
      <c r="X103" s="147"/>
      <c r="Y103" s="147"/>
      <c r="Z103" s="147"/>
      <c r="AA103" s="147"/>
      <c r="AB103" s="147"/>
      <c r="AC103" s="147"/>
      <c r="AD103" s="147"/>
      <c r="AE103" s="147"/>
      <c r="AF103" s="147"/>
      <c r="AG103" s="147"/>
      <c r="AH103" s="147"/>
      <c r="AI103" s="147"/>
      <c r="AJ103" s="147"/>
      <c r="AK103" s="148"/>
      <c r="AL103" s="328"/>
      <c r="AM103" s="331"/>
      <c r="AN103" s="334"/>
      <c r="AO103" s="337"/>
      <c r="AP103" s="296"/>
      <c r="AQ103" s="290"/>
      <c r="AR103" s="290"/>
      <c r="AS103" s="290"/>
      <c r="AT103" s="290"/>
      <c r="AU103" s="290"/>
      <c r="AV103" s="290"/>
      <c r="AW103" s="290"/>
      <c r="AX103" s="290"/>
      <c r="AY103" s="290"/>
      <c r="AZ103" s="290"/>
      <c r="BA103" s="290"/>
      <c r="BB103" s="290"/>
      <c r="BC103" s="290"/>
      <c r="BD103" s="290"/>
      <c r="BE103" s="290"/>
      <c r="BF103" s="293"/>
      <c r="BG103" s="156"/>
    </row>
    <row r="104" spans="5:59" ht="15" customHeight="1" x14ac:dyDescent="0.25">
      <c r="E104" s="283"/>
      <c r="F104" s="134" t="s">
        <v>146</v>
      </c>
      <c r="G104" s="147"/>
      <c r="H104" s="147"/>
      <c r="I104" s="147"/>
      <c r="J104" s="147"/>
      <c r="K104" s="147"/>
      <c r="L104" s="147"/>
      <c r="M104" s="147"/>
      <c r="N104" s="147"/>
      <c r="O104" s="147"/>
      <c r="P104" s="147"/>
      <c r="Q104" s="147"/>
      <c r="R104" s="147"/>
      <c r="S104" s="147"/>
      <c r="T104" s="147"/>
      <c r="U104" s="147"/>
      <c r="V104" s="147"/>
      <c r="W104" s="147"/>
      <c r="X104" s="147"/>
      <c r="Y104" s="147"/>
      <c r="Z104" s="147"/>
      <c r="AA104" s="147"/>
      <c r="AB104" s="147"/>
      <c r="AC104" s="147"/>
      <c r="AD104" s="147"/>
      <c r="AE104" s="147"/>
      <c r="AF104" s="147"/>
      <c r="AG104" s="147"/>
      <c r="AH104" s="147"/>
      <c r="AI104" s="147"/>
      <c r="AJ104" s="147"/>
      <c r="AK104" s="148"/>
      <c r="AL104" s="328"/>
      <c r="AM104" s="331"/>
      <c r="AN104" s="334"/>
      <c r="AO104" s="337"/>
      <c r="AP104" s="296"/>
      <c r="AQ104" s="290"/>
      <c r="AR104" s="290"/>
      <c r="AS104" s="290"/>
      <c r="AT104" s="290"/>
      <c r="AU104" s="290"/>
      <c r="AV104" s="290"/>
      <c r="AW104" s="290"/>
      <c r="AX104" s="290"/>
      <c r="AY104" s="290"/>
      <c r="AZ104" s="290"/>
      <c r="BA104" s="290"/>
      <c r="BB104" s="290"/>
      <c r="BC104" s="290"/>
      <c r="BD104" s="290"/>
      <c r="BE104" s="290"/>
      <c r="BF104" s="293"/>
      <c r="BG104" s="156"/>
    </row>
    <row r="105" spans="5:59" ht="15" customHeight="1" x14ac:dyDescent="0.25">
      <c r="E105" s="283"/>
      <c r="F105" s="134" t="s">
        <v>150</v>
      </c>
      <c r="G105" s="147"/>
      <c r="H105" s="147"/>
      <c r="I105" s="147"/>
      <c r="J105" s="147"/>
      <c r="K105" s="147"/>
      <c r="L105" s="147"/>
      <c r="M105" s="147"/>
      <c r="N105" s="147"/>
      <c r="O105" s="147"/>
      <c r="P105" s="147"/>
      <c r="Q105" s="147"/>
      <c r="R105" s="147"/>
      <c r="S105" s="147"/>
      <c r="T105" s="147"/>
      <c r="U105" s="147"/>
      <c r="V105" s="147"/>
      <c r="W105" s="147"/>
      <c r="X105" s="147"/>
      <c r="Y105" s="147"/>
      <c r="Z105" s="147"/>
      <c r="AA105" s="147"/>
      <c r="AB105" s="147"/>
      <c r="AC105" s="147"/>
      <c r="AD105" s="147"/>
      <c r="AE105" s="147"/>
      <c r="AF105" s="147"/>
      <c r="AG105" s="147"/>
      <c r="AH105" s="147"/>
      <c r="AI105" s="147"/>
      <c r="AJ105" s="147"/>
      <c r="AK105" s="148"/>
      <c r="AL105" s="328"/>
      <c r="AM105" s="331"/>
      <c r="AN105" s="334"/>
      <c r="AO105" s="337"/>
      <c r="AP105" s="296"/>
      <c r="AQ105" s="290"/>
      <c r="AR105" s="290"/>
      <c r="AS105" s="290"/>
      <c r="AT105" s="290"/>
      <c r="AU105" s="290"/>
      <c r="AV105" s="290"/>
      <c r="AW105" s="290"/>
      <c r="AX105" s="290"/>
      <c r="AY105" s="290"/>
      <c r="AZ105" s="290"/>
      <c r="BA105" s="290"/>
      <c r="BB105" s="290"/>
      <c r="BC105" s="290"/>
      <c r="BD105" s="290"/>
      <c r="BE105" s="290"/>
      <c r="BF105" s="293"/>
      <c r="BG105" s="156"/>
    </row>
    <row r="106" spans="5:59" ht="15" customHeight="1" x14ac:dyDescent="0.25">
      <c r="E106" s="283"/>
      <c r="F106" s="134" t="s">
        <v>68</v>
      </c>
      <c r="G106" s="147"/>
      <c r="H106" s="147"/>
      <c r="I106" s="147"/>
      <c r="J106" s="147"/>
      <c r="K106" s="147"/>
      <c r="L106" s="147"/>
      <c r="M106" s="147"/>
      <c r="N106" s="147"/>
      <c r="O106" s="147"/>
      <c r="P106" s="147"/>
      <c r="Q106" s="147"/>
      <c r="R106" s="147"/>
      <c r="S106" s="147"/>
      <c r="T106" s="147"/>
      <c r="U106" s="147"/>
      <c r="V106" s="147"/>
      <c r="W106" s="147"/>
      <c r="X106" s="147"/>
      <c r="Y106" s="147"/>
      <c r="Z106" s="147"/>
      <c r="AA106" s="147"/>
      <c r="AB106" s="147"/>
      <c r="AC106" s="147"/>
      <c r="AD106" s="147"/>
      <c r="AE106" s="147"/>
      <c r="AF106" s="147"/>
      <c r="AG106" s="147"/>
      <c r="AH106" s="147"/>
      <c r="AI106" s="147"/>
      <c r="AJ106" s="147"/>
      <c r="AK106" s="148"/>
      <c r="AL106" s="328"/>
      <c r="AM106" s="331"/>
      <c r="AN106" s="334"/>
      <c r="AO106" s="337"/>
      <c r="AP106" s="296"/>
      <c r="AQ106" s="290"/>
      <c r="AR106" s="290"/>
      <c r="AS106" s="290"/>
      <c r="AT106" s="290"/>
      <c r="AU106" s="290"/>
      <c r="AV106" s="290"/>
      <c r="AW106" s="290"/>
      <c r="AX106" s="290"/>
      <c r="AY106" s="290"/>
      <c r="AZ106" s="290"/>
      <c r="BA106" s="290"/>
      <c r="BB106" s="290"/>
      <c r="BC106" s="290"/>
      <c r="BD106" s="290"/>
      <c r="BE106" s="290"/>
      <c r="BF106" s="293"/>
      <c r="BG106" s="156"/>
    </row>
    <row r="107" spans="5:59" ht="15" customHeight="1" x14ac:dyDescent="0.25">
      <c r="E107" s="283"/>
      <c r="F107" s="135" t="s">
        <v>148</v>
      </c>
      <c r="G107" s="147"/>
      <c r="H107" s="147"/>
      <c r="I107" s="147"/>
      <c r="J107" s="147"/>
      <c r="K107" s="147"/>
      <c r="L107" s="147"/>
      <c r="M107" s="147"/>
      <c r="N107" s="147"/>
      <c r="O107" s="147"/>
      <c r="P107" s="147"/>
      <c r="Q107" s="147"/>
      <c r="R107" s="147"/>
      <c r="S107" s="147"/>
      <c r="T107" s="147"/>
      <c r="U107" s="147"/>
      <c r="V107" s="147"/>
      <c r="W107" s="147"/>
      <c r="X107" s="147"/>
      <c r="Y107" s="147"/>
      <c r="Z107" s="147"/>
      <c r="AA107" s="147"/>
      <c r="AB107" s="147"/>
      <c r="AC107" s="147"/>
      <c r="AD107" s="147"/>
      <c r="AE107" s="147"/>
      <c r="AF107" s="147"/>
      <c r="AG107" s="147"/>
      <c r="AH107" s="147"/>
      <c r="AI107" s="147"/>
      <c r="AJ107" s="147"/>
      <c r="AK107" s="148"/>
      <c r="AL107" s="328"/>
      <c r="AM107" s="331"/>
      <c r="AN107" s="334"/>
      <c r="AO107" s="337"/>
      <c r="AP107" s="296"/>
      <c r="AQ107" s="290"/>
      <c r="AR107" s="290"/>
      <c r="AS107" s="290"/>
      <c r="AT107" s="290"/>
      <c r="AU107" s="290"/>
      <c r="AV107" s="290"/>
      <c r="AW107" s="290"/>
      <c r="AX107" s="290"/>
      <c r="AY107" s="290"/>
      <c r="AZ107" s="290"/>
      <c r="BA107" s="290"/>
      <c r="BB107" s="290"/>
      <c r="BC107" s="290"/>
      <c r="BD107" s="290"/>
      <c r="BE107" s="290"/>
      <c r="BF107" s="293"/>
      <c r="BG107" s="156"/>
    </row>
    <row r="108" spans="5:59" ht="15.75" customHeight="1" thickBot="1" x14ac:dyDescent="0.3">
      <c r="E108" s="284"/>
      <c r="F108" s="139" t="s">
        <v>149</v>
      </c>
      <c r="G108" s="149"/>
      <c r="H108" s="149"/>
      <c r="I108" s="149"/>
      <c r="J108" s="149"/>
      <c r="K108" s="149"/>
      <c r="L108" s="149"/>
      <c r="M108" s="149"/>
      <c r="N108" s="149"/>
      <c r="O108" s="149"/>
      <c r="P108" s="149"/>
      <c r="Q108" s="149"/>
      <c r="R108" s="149"/>
      <c r="S108" s="149"/>
      <c r="T108" s="149"/>
      <c r="U108" s="149"/>
      <c r="V108" s="149"/>
      <c r="W108" s="149"/>
      <c r="X108" s="149"/>
      <c r="Y108" s="149"/>
      <c r="Z108" s="149"/>
      <c r="AA108" s="149"/>
      <c r="AB108" s="149"/>
      <c r="AC108" s="149"/>
      <c r="AD108" s="149"/>
      <c r="AE108" s="149"/>
      <c r="AF108" s="149"/>
      <c r="AG108" s="149"/>
      <c r="AH108" s="149"/>
      <c r="AI108" s="149"/>
      <c r="AJ108" s="149"/>
      <c r="AK108" s="150"/>
      <c r="AL108" s="329"/>
      <c r="AM108" s="332"/>
      <c r="AN108" s="335"/>
      <c r="AO108" s="338"/>
      <c r="AP108" s="297"/>
      <c r="AQ108" s="291"/>
      <c r="AR108" s="291"/>
      <c r="AS108" s="291"/>
      <c r="AT108" s="291"/>
      <c r="AU108" s="291"/>
      <c r="AV108" s="291"/>
      <c r="AW108" s="291"/>
      <c r="AX108" s="291"/>
      <c r="AY108" s="291"/>
      <c r="AZ108" s="291"/>
      <c r="BA108" s="291"/>
      <c r="BB108" s="291"/>
      <c r="BC108" s="291"/>
      <c r="BD108" s="291"/>
      <c r="BE108" s="291"/>
      <c r="BF108" s="294"/>
      <c r="BG108" s="156"/>
    </row>
    <row r="109" spans="5:59" ht="15" customHeight="1" x14ac:dyDescent="0.25"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8"/>
      <c r="AI109" s="159"/>
      <c r="AJ109" s="265"/>
      <c r="AK109" s="298"/>
      <c r="AL109" s="277">
        <f>SUM(AL25:AL108)</f>
        <v>0</v>
      </c>
      <c r="AM109" s="275">
        <f>SUM(AM25:AM108)</f>
        <v>0</v>
      </c>
      <c r="AN109" s="275">
        <f>SUM(AN25:AN108)</f>
        <v>0</v>
      </c>
      <c r="AO109" s="273">
        <f>SUM(AO25:AO108)</f>
        <v>0</v>
      </c>
      <c r="AP109" s="271">
        <f>SUM(AP25:AP108)</f>
        <v>0</v>
      </c>
      <c r="AQ109" s="269">
        <f t="shared" ref="AQ109" si="59">SUM(AQ25:AQ108)</f>
        <v>0</v>
      </c>
      <c r="AR109" s="269">
        <f t="shared" ref="AR109" si="60">SUM(AR25:AR108)</f>
        <v>0</v>
      </c>
      <c r="AS109" s="269">
        <f t="shared" ref="AS109" si="61">SUM(AS25:AS108)</f>
        <v>0</v>
      </c>
      <c r="AT109" s="269">
        <f t="shared" ref="AT109" si="62">SUM(AT25:AT108)</f>
        <v>0</v>
      </c>
      <c r="AU109" s="269">
        <f t="shared" ref="AU109" si="63">SUM(AU25:AU108)</f>
        <v>0</v>
      </c>
      <c r="AV109" s="269">
        <f t="shared" ref="AV109" si="64">SUM(AV25:AV108)</f>
        <v>0</v>
      </c>
      <c r="AW109" s="269">
        <f t="shared" ref="AW109" si="65">SUM(AW25:AW108)</f>
        <v>0</v>
      </c>
      <c r="AX109" s="269">
        <f t="shared" ref="AX109" si="66">SUM(AX25:AX108)</f>
        <v>0</v>
      </c>
      <c r="AY109" s="269">
        <f t="shared" ref="AY109" si="67">SUM(AY25:AY108)</f>
        <v>0</v>
      </c>
      <c r="AZ109" s="269">
        <f t="shared" ref="AZ109" si="68">SUM(AZ25:AZ108)</f>
        <v>0</v>
      </c>
      <c r="BA109" s="269">
        <f t="shared" ref="BA109" si="69">SUM(BA25:BA108)</f>
        <v>0</v>
      </c>
      <c r="BB109" s="269">
        <f t="shared" ref="BB109" si="70">SUM(BB25:BB108)</f>
        <v>0</v>
      </c>
      <c r="BC109" s="269">
        <f t="shared" ref="BC109" si="71">SUM(BC25:BC108)</f>
        <v>0</v>
      </c>
      <c r="BD109" s="269">
        <f t="shared" ref="BD109" si="72">SUM(BD25:BD108)</f>
        <v>0</v>
      </c>
      <c r="BE109" s="269">
        <f t="shared" ref="BE109:BF109" si="73">SUM(BE25:BE108)</f>
        <v>0</v>
      </c>
      <c r="BF109" s="301">
        <f t="shared" si="73"/>
        <v>0</v>
      </c>
    </row>
    <row r="110" spans="5:59" ht="15.75" customHeight="1" thickBot="1" x14ac:dyDescent="0.3">
      <c r="E110" s="144" t="s">
        <v>159</v>
      </c>
      <c r="F110" s="157" t="s">
        <v>163</v>
      </c>
      <c r="AJ110" s="299"/>
      <c r="AK110" s="300"/>
      <c r="AL110" s="278"/>
      <c r="AM110" s="276"/>
      <c r="AN110" s="276"/>
      <c r="AO110" s="274"/>
      <c r="AP110" s="272"/>
      <c r="AQ110" s="270"/>
      <c r="AR110" s="270"/>
      <c r="AS110" s="270"/>
      <c r="AT110" s="270"/>
      <c r="AU110" s="270"/>
      <c r="AV110" s="270"/>
      <c r="AW110" s="270"/>
      <c r="AX110" s="270"/>
      <c r="AY110" s="270"/>
      <c r="AZ110" s="270"/>
      <c r="BA110" s="270"/>
      <c r="BB110" s="270"/>
      <c r="BC110" s="270"/>
      <c r="BD110" s="270"/>
      <c r="BE110" s="270"/>
      <c r="BF110" s="302"/>
    </row>
    <row r="111" spans="5:59" ht="15" customHeight="1" x14ac:dyDescent="0.25">
      <c r="E111" s="142" t="s">
        <v>161</v>
      </c>
      <c r="F111" s="157" t="s">
        <v>168</v>
      </c>
    </row>
    <row r="112" spans="5:59" ht="15" customHeight="1" x14ac:dyDescent="0.25">
      <c r="E112" s="143" t="s">
        <v>160</v>
      </c>
    </row>
    <row r="113" ht="15" customHeight="1" x14ac:dyDescent="0.25"/>
    <row r="114" ht="15" customHeight="1" x14ac:dyDescent="0.25"/>
    <row r="115" ht="15.75" customHeight="1" x14ac:dyDescent="0.25"/>
  </sheetData>
  <sheetProtection sheet="1" objects="1" scenarios="1"/>
  <mergeCells count="321">
    <mergeCell ref="AY39:AY45"/>
    <mergeCell ref="AY53:AY59"/>
    <mergeCell ref="AT53:AT59"/>
    <mergeCell ref="AL102:AL108"/>
    <mergeCell ref="AM102:AM108"/>
    <mergeCell ref="AN102:AN108"/>
    <mergeCell ref="AO102:AO108"/>
    <mergeCell ref="AL95:AL101"/>
    <mergeCell ref="AM74:AM80"/>
    <mergeCell ref="AN74:AN80"/>
    <mergeCell ref="AO74:AO80"/>
    <mergeCell ref="AM81:AM87"/>
    <mergeCell ref="AN81:AN87"/>
    <mergeCell ref="AO81:AO87"/>
    <mergeCell ref="AM88:AM94"/>
    <mergeCell ref="AN88:AN94"/>
    <mergeCell ref="AO88:AO94"/>
    <mergeCell ref="AN67:AN73"/>
    <mergeCell ref="AO67:AO73"/>
    <mergeCell ref="AL81:AL87"/>
    <mergeCell ref="AL74:AL80"/>
    <mergeCell ref="AT74:AT80"/>
    <mergeCell ref="AP102:AP108"/>
    <mergeCell ref="AQ102:AQ108"/>
    <mergeCell ref="AP74:AP80"/>
    <mergeCell ref="AQ74:AQ80"/>
    <mergeCell ref="AR74:AR80"/>
    <mergeCell ref="AS74:AS80"/>
    <mergeCell ref="AP67:AP73"/>
    <mergeCell ref="AQ67:AQ73"/>
    <mergeCell ref="AR67:AR73"/>
    <mergeCell ref="AS67:AS73"/>
    <mergeCell ref="AL67:AL73"/>
    <mergeCell ref="AP46:AP52"/>
    <mergeCell ref="AQ46:AQ52"/>
    <mergeCell ref="AO32:AO38"/>
    <mergeCell ref="AX39:AX45"/>
    <mergeCell ref="AT39:AT45"/>
    <mergeCell ref="AU39:AU45"/>
    <mergeCell ref="AV39:AV45"/>
    <mergeCell ref="AW39:AW45"/>
    <mergeCell ref="AU53:AU59"/>
    <mergeCell ref="AV53:AV59"/>
    <mergeCell ref="AW53:AW59"/>
    <mergeCell ref="AO39:AO45"/>
    <mergeCell ref="AP53:AP59"/>
    <mergeCell ref="AQ53:AQ59"/>
    <mergeCell ref="AR53:AR59"/>
    <mergeCell ref="AS53:AS59"/>
    <mergeCell ref="AR46:AR52"/>
    <mergeCell ref="AS46:AS52"/>
    <mergeCell ref="AT46:AT52"/>
    <mergeCell ref="AU46:AU52"/>
    <mergeCell ref="AV46:AV52"/>
    <mergeCell ref="AW46:AW52"/>
    <mergeCell ref="AX46:AX52"/>
    <mergeCell ref="AK95:AK101"/>
    <mergeCell ref="AK32:AK38"/>
    <mergeCell ref="AL46:AL52"/>
    <mergeCell ref="AL88:AL94"/>
    <mergeCell ref="AM46:AM52"/>
    <mergeCell ref="AN46:AN52"/>
    <mergeCell ref="AO46:AO52"/>
    <mergeCell ref="AM53:AM59"/>
    <mergeCell ref="AN53:AN59"/>
    <mergeCell ref="AO53:AO59"/>
    <mergeCell ref="AL60:AL66"/>
    <mergeCell ref="AM60:AM66"/>
    <mergeCell ref="AN60:AN66"/>
    <mergeCell ref="AO60:AO66"/>
    <mergeCell ref="AL53:AL59"/>
    <mergeCell ref="AM67:AM73"/>
    <mergeCell ref="AK46:AK52"/>
    <mergeCell ref="AK60:AK66"/>
    <mergeCell ref="AK81:AK87"/>
    <mergeCell ref="AM95:AM101"/>
    <mergeCell ref="AN95:AN101"/>
    <mergeCell ref="AO95:AO101"/>
    <mergeCell ref="AN32:AN38"/>
    <mergeCell ref="AL39:AL45"/>
    <mergeCell ref="AI32:AI38"/>
    <mergeCell ref="AL25:AL31"/>
    <mergeCell ref="AL32:AL38"/>
    <mergeCell ref="AM25:AM31"/>
    <mergeCell ref="AJ32:AJ38"/>
    <mergeCell ref="AN25:AN31"/>
    <mergeCell ref="AO25:AO31"/>
    <mergeCell ref="AR39:AR45"/>
    <mergeCell ref="AS39:AS45"/>
    <mergeCell ref="AM39:AM45"/>
    <mergeCell ref="AP39:AP45"/>
    <mergeCell ref="AQ39:AQ45"/>
    <mergeCell ref="AN39:AN45"/>
    <mergeCell ref="AM32:AM38"/>
    <mergeCell ref="AZ25:AZ31"/>
    <mergeCell ref="BA25:BA31"/>
    <mergeCell ref="BB25:BB31"/>
    <mergeCell ref="BC25:BC31"/>
    <mergeCell ref="BD25:BD31"/>
    <mergeCell ref="BD32:BD38"/>
    <mergeCell ref="AQ25:AQ31"/>
    <mergeCell ref="AP32:AP38"/>
    <mergeCell ref="AQ32:AQ38"/>
    <mergeCell ref="AP25:AP31"/>
    <mergeCell ref="AX25:AX31"/>
    <mergeCell ref="AY25:AY31"/>
    <mergeCell ref="AR25:AR31"/>
    <mergeCell ref="AS25:AS31"/>
    <mergeCell ref="AT25:AT31"/>
    <mergeCell ref="AR32:AR38"/>
    <mergeCell ref="AS32:AS38"/>
    <mergeCell ref="AT32:AT38"/>
    <mergeCell ref="AU32:AU38"/>
    <mergeCell ref="AV32:AV38"/>
    <mergeCell ref="AW32:AW38"/>
    <mergeCell ref="AX32:AX38"/>
    <mergeCell ref="AY32:AY38"/>
    <mergeCell ref="AW25:AW31"/>
    <mergeCell ref="AL22:AO22"/>
    <mergeCell ref="G22:AK22"/>
    <mergeCell ref="I9:J9"/>
    <mergeCell ref="E25:E31"/>
    <mergeCell ref="N10:R10"/>
    <mergeCell ref="N11:R11"/>
    <mergeCell ref="N12:R12"/>
    <mergeCell ref="H20:AR20"/>
    <mergeCell ref="N13:R13"/>
    <mergeCell ref="W11:Y11"/>
    <mergeCell ref="Z11:AB11"/>
    <mergeCell ref="AC11:AE11"/>
    <mergeCell ref="E17:BF17"/>
    <mergeCell ref="H19:V19"/>
    <mergeCell ref="AP22:BF22"/>
    <mergeCell ref="E22:E24"/>
    <mergeCell ref="F22:F24"/>
    <mergeCell ref="AK11:AL11"/>
    <mergeCell ref="AK12:AL12"/>
    <mergeCell ref="AK13:AL13"/>
    <mergeCell ref="BE25:BE31"/>
    <mergeCell ref="BF25:BF31"/>
    <mergeCell ref="AU25:AU31"/>
    <mergeCell ref="AV25:AV31"/>
    <mergeCell ref="AZ39:AZ45"/>
    <mergeCell ref="BA39:BA45"/>
    <mergeCell ref="BB39:BB45"/>
    <mergeCell ref="AZ32:AZ38"/>
    <mergeCell ref="BA32:BA38"/>
    <mergeCell ref="BB32:BB38"/>
    <mergeCell ref="BC32:BC38"/>
    <mergeCell ref="BF46:BF52"/>
    <mergeCell ref="BC39:BC45"/>
    <mergeCell ref="BD39:BD45"/>
    <mergeCell ref="BE39:BE45"/>
    <mergeCell ref="BF39:BF45"/>
    <mergeCell ref="BA46:BA52"/>
    <mergeCell ref="BE32:BE38"/>
    <mergeCell ref="BF32:BF38"/>
    <mergeCell ref="BB46:BB52"/>
    <mergeCell ref="BC46:BC52"/>
    <mergeCell ref="BD46:BD52"/>
    <mergeCell ref="BE46:BE52"/>
    <mergeCell ref="AY46:AY52"/>
    <mergeCell ref="AZ46:AZ52"/>
    <mergeCell ref="BF53:BF59"/>
    <mergeCell ref="AP60:AP66"/>
    <mergeCell ref="AQ60:AQ66"/>
    <mergeCell ref="AR60:AR66"/>
    <mergeCell ref="AS60:AS66"/>
    <mergeCell ref="AT60:AT66"/>
    <mergeCell ref="AU60:AU66"/>
    <mergeCell ref="AV60:AV66"/>
    <mergeCell ref="AW60:AW66"/>
    <mergeCell ref="AX60:AX66"/>
    <mergeCell ref="AY60:AY66"/>
    <mergeCell ref="AZ60:AZ66"/>
    <mergeCell ref="BA60:BA66"/>
    <mergeCell ref="BB60:BB66"/>
    <mergeCell ref="BC60:BC66"/>
    <mergeCell ref="AZ53:AZ59"/>
    <mergeCell ref="BA53:BA59"/>
    <mergeCell ref="BB53:BB59"/>
    <mergeCell ref="BC53:BC59"/>
    <mergeCell ref="BD53:BD59"/>
    <mergeCell ref="BE53:BE59"/>
    <mergeCell ref="AX53:AX59"/>
    <mergeCell ref="AT67:AT73"/>
    <mergeCell ref="AU67:AU73"/>
    <mergeCell ref="AV67:AV73"/>
    <mergeCell ref="AW67:AW73"/>
    <mergeCell ref="AX67:AX73"/>
    <mergeCell ref="BB74:BB80"/>
    <mergeCell ref="BC74:BC80"/>
    <mergeCell ref="BD74:BD80"/>
    <mergeCell ref="BE74:BE80"/>
    <mergeCell ref="BF74:BF80"/>
    <mergeCell ref="AY74:AY80"/>
    <mergeCell ref="AZ74:AZ80"/>
    <mergeCell ref="BA74:BA80"/>
    <mergeCell ref="BD60:BD66"/>
    <mergeCell ref="BE60:BE66"/>
    <mergeCell ref="BF60:BF66"/>
    <mergeCell ref="AY67:AY73"/>
    <mergeCell ref="AZ67:AZ73"/>
    <mergeCell ref="BA67:BA73"/>
    <mergeCell ref="BB67:BB73"/>
    <mergeCell ref="AU102:AU108"/>
    <mergeCell ref="AV102:AV108"/>
    <mergeCell ref="AW102:AW108"/>
    <mergeCell ref="AX102:AX108"/>
    <mergeCell ref="BC67:BC73"/>
    <mergeCell ref="BD67:BD73"/>
    <mergeCell ref="BE67:BE73"/>
    <mergeCell ref="BF67:BF73"/>
    <mergeCell ref="BC81:BC87"/>
    <mergeCell ref="BD81:BD87"/>
    <mergeCell ref="AU81:AU87"/>
    <mergeCell ref="AV81:AV87"/>
    <mergeCell ref="AW81:AW87"/>
    <mergeCell ref="AX81:AX87"/>
    <mergeCell ref="AY81:AY87"/>
    <mergeCell ref="BE81:BE87"/>
    <mergeCell ref="BF81:BF87"/>
    <mergeCell ref="AZ81:AZ87"/>
    <mergeCell ref="BA81:BA87"/>
    <mergeCell ref="BB81:BB87"/>
    <mergeCell ref="AU74:AU80"/>
    <mergeCell ref="AV74:AV80"/>
    <mergeCell ref="AW74:AW80"/>
    <mergeCell ref="AX74:AX80"/>
    <mergeCell ref="AP81:AP87"/>
    <mergeCell ref="AQ81:AQ87"/>
    <mergeCell ref="AR81:AR87"/>
    <mergeCell ref="AS81:AS87"/>
    <mergeCell ref="AT81:AT87"/>
    <mergeCell ref="AR102:AR108"/>
    <mergeCell ref="AS102:AS108"/>
    <mergeCell ref="AT102:AT108"/>
    <mergeCell ref="AP88:AP94"/>
    <mergeCell ref="AQ88:AQ94"/>
    <mergeCell ref="AR88:AR94"/>
    <mergeCell ref="AS88:AS94"/>
    <mergeCell ref="AT88:AT94"/>
    <mergeCell ref="BA95:BA101"/>
    <mergeCell ref="BB95:BB101"/>
    <mergeCell ref="BC95:BC101"/>
    <mergeCell ref="BD95:BD101"/>
    <mergeCell ref="BE95:BE101"/>
    <mergeCell ref="BF95:BF101"/>
    <mergeCell ref="AU88:AU94"/>
    <mergeCell ref="AV88:AV94"/>
    <mergeCell ref="AW88:AW94"/>
    <mergeCell ref="AX88:AX94"/>
    <mergeCell ref="AZ88:AZ94"/>
    <mergeCell ref="BA88:BA94"/>
    <mergeCell ref="BB88:BB94"/>
    <mergeCell ref="BC88:BC94"/>
    <mergeCell ref="AY88:AY94"/>
    <mergeCell ref="AJ109:AK110"/>
    <mergeCell ref="BF109:BF110"/>
    <mergeCell ref="BE109:BE110"/>
    <mergeCell ref="AQ109:AQ110"/>
    <mergeCell ref="AR109:AR110"/>
    <mergeCell ref="AS109:AS110"/>
    <mergeCell ref="AT109:AT110"/>
    <mergeCell ref="AU109:AU110"/>
    <mergeCell ref="AV109:AV110"/>
    <mergeCell ref="AW109:AW110"/>
    <mergeCell ref="AX109:AX110"/>
    <mergeCell ref="AZ109:AZ110"/>
    <mergeCell ref="BA109:BA110"/>
    <mergeCell ref="BB109:BB110"/>
    <mergeCell ref="BC109:BC110"/>
    <mergeCell ref="BD109:BD110"/>
    <mergeCell ref="E81:E87"/>
    <mergeCell ref="E88:E94"/>
    <mergeCell ref="BB102:BB108"/>
    <mergeCell ref="BC102:BC108"/>
    <mergeCell ref="BD102:BD108"/>
    <mergeCell ref="BE102:BE108"/>
    <mergeCell ref="BF102:BF108"/>
    <mergeCell ref="AY102:AY108"/>
    <mergeCell ref="AZ102:AZ108"/>
    <mergeCell ref="BA102:BA108"/>
    <mergeCell ref="BD88:BD94"/>
    <mergeCell ref="BE88:BE94"/>
    <mergeCell ref="BF88:BF94"/>
    <mergeCell ref="AP95:AP101"/>
    <mergeCell ref="AQ95:AQ101"/>
    <mergeCell ref="AR95:AR101"/>
    <mergeCell ref="AS95:AS101"/>
    <mergeCell ref="AT95:AT101"/>
    <mergeCell ref="AU95:AU101"/>
    <mergeCell ref="AV95:AV101"/>
    <mergeCell ref="AW95:AW101"/>
    <mergeCell ref="AX95:AX101"/>
    <mergeCell ref="AY95:AY101"/>
    <mergeCell ref="AZ95:AZ101"/>
    <mergeCell ref="E95:E101"/>
    <mergeCell ref="D9:F9"/>
    <mergeCell ref="AY109:AY110"/>
    <mergeCell ref="AP109:AP110"/>
    <mergeCell ref="AO109:AO110"/>
    <mergeCell ref="AN109:AN110"/>
    <mergeCell ref="AM109:AM110"/>
    <mergeCell ref="AL109:AL110"/>
    <mergeCell ref="D8:F8"/>
    <mergeCell ref="I8:J8"/>
    <mergeCell ref="W12:Y12"/>
    <mergeCell ref="W13:Y13"/>
    <mergeCell ref="Z12:AB12"/>
    <mergeCell ref="AC12:AE12"/>
    <mergeCell ref="Z13:AB13"/>
    <mergeCell ref="AC13:AE13"/>
    <mergeCell ref="E102:E108"/>
    <mergeCell ref="E32:E38"/>
    <mergeCell ref="E39:E45"/>
    <mergeCell ref="E46:E52"/>
    <mergeCell ref="E53:E59"/>
    <mergeCell ref="E60:E66"/>
    <mergeCell ref="E67:E73"/>
    <mergeCell ref="E74:E80"/>
  </mergeCells>
  <phoneticPr fontId="28" type="noConversion"/>
  <conditionalFormatting sqref="G25:AK108">
    <cfRule type="expression" dxfId="62" priority="1" stopIfTrue="1">
      <formula>OR(DATE($I$9,INT((ROW($A25)-18)/7),G$23)&lt;$N$12,AND(DATE($I$9,INT((ROW($A25)-18)/7),G$23)&gt;$N$13,$N$13&lt;&gt;""))</formula>
    </cfRule>
    <cfRule type="expression" dxfId="61" priority="6" stopIfTrue="1">
      <formula>MONTH((DATE($I$9,INT((ROW($A25)-18)/7),G$23)))&lt;&gt;(INT((ROW($A25)-18)/7))</formula>
    </cfRule>
    <cfRule type="expression" dxfId="60" priority="7">
      <formula>WEEKDAY(DATE($I$9,INT((ROW($A25)-18)/7),G$23),2)=6</formula>
    </cfRule>
    <cfRule type="expression" dxfId="59" priority="8">
      <formula>WEEKDAY(DATE($I$9,INT((ROW($A25)-18)/7),G$23),2)=7</formula>
    </cfRule>
    <cfRule type="expression" dxfId="58" priority="9">
      <formula>NETWORKDAYS.INTL(DATE($I$9,INT((ROW($A25)-18)/7),G$23),DATE($I$9,INT((ROW($A25)-18)/7),G$23),1,arrayHolidays)=0</formula>
    </cfRule>
  </conditionalFormatting>
  <pageMargins left="0.7" right="0.7" top="0.75" bottom="0.75" header="0.3" footer="0.3"/>
  <pageSetup paperSize="9" scale="32" orientation="landscape" r:id="rId1"/>
  <drawing r:id="rId2"/>
  <legacyDrawing r:id="rId3"/>
  <controls>
    <mc:AlternateContent xmlns:mc="http://schemas.openxmlformats.org/markup-compatibility/2006">
      <mc:Choice Requires="x14">
        <control shapeId="44034" r:id="rId4" name="showNigthHours">
          <controlPr defaultSize="0" autoLine="0" r:id="rId5">
            <anchor moveWithCells="1">
              <from>
                <xdr:col>3</xdr:col>
                <xdr:colOff>66675</xdr:colOff>
                <xdr:row>12</xdr:row>
                <xdr:rowOff>104775</xdr:rowOff>
              </from>
              <to>
                <xdr:col>5</xdr:col>
                <xdr:colOff>57150</xdr:colOff>
                <xdr:row>13</xdr:row>
                <xdr:rowOff>161925</xdr:rowOff>
              </to>
            </anchor>
          </controlPr>
        </control>
      </mc:Choice>
      <mc:Fallback>
        <control shapeId="44034" r:id="rId4" name="showNigthHours"/>
      </mc:Fallback>
    </mc:AlternateContent>
    <mc:AlternateContent xmlns:mc="http://schemas.openxmlformats.org/markup-compatibility/2006">
      <mc:Choice Requires="x14">
        <control shapeId="44035" r:id="rId6" name="ShowOverHours">
          <controlPr defaultSize="0" autoLine="0" r:id="rId7">
            <anchor moveWithCells="1">
              <from>
                <xdr:col>3</xdr:col>
                <xdr:colOff>85725</xdr:colOff>
                <xdr:row>14</xdr:row>
                <xdr:rowOff>19050</xdr:rowOff>
              </from>
              <to>
                <xdr:col>4</xdr:col>
                <xdr:colOff>581025</xdr:colOff>
                <xdr:row>15</xdr:row>
                <xdr:rowOff>104775</xdr:rowOff>
              </to>
            </anchor>
          </controlPr>
        </control>
      </mc:Choice>
      <mc:Fallback>
        <control shapeId="44035" r:id="rId6" name="ShowOverHours"/>
      </mc:Fallback>
    </mc:AlternateContent>
    <mc:AlternateContent xmlns:mc="http://schemas.openxmlformats.org/markup-compatibility/2006">
      <mc:Choice Requires="x14">
        <control shapeId="44036" r:id="rId8" name="showTimeofWork">
          <controlPr defaultSize="0" autoLine="0" r:id="rId9">
            <anchor moveWithCells="1">
              <from>
                <xdr:col>3</xdr:col>
                <xdr:colOff>76200</xdr:colOff>
                <xdr:row>10</xdr:row>
                <xdr:rowOff>180975</xdr:rowOff>
              </from>
              <to>
                <xdr:col>5</xdr:col>
                <xdr:colOff>542925</xdr:colOff>
                <xdr:row>12</xdr:row>
                <xdr:rowOff>57150</xdr:rowOff>
              </to>
            </anchor>
          </controlPr>
        </control>
      </mc:Choice>
      <mc:Fallback>
        <control shapeId="44036" r:id="rId8" name="showTimeofWork"/>
      </mc:Fallback>
    </mc:AlternateContent>
    <mc:AlternateContent xmlns:mc="http://schemas.openxmlformats.org/markup-compatibility/2006">
      <mc:Choice Requires="x14">
        <control shapeId="44033" r:id="rId10" name="Button 1">
          <controlPr defaultSize="0" print="0" autoFill="0" autoPict="0" macro="[0]!exportAsPDF_Z_YearRekords">
            <anchor moveWithCells="1">
              <from>
                <xdr:col>7</xdr:col>
                <xdr:colOff>238125</xdr:colOff>
                <xdr:row>11</xdr:row>
                <xdr:rowOff>133350</xdr:rowOff>
              </from>
              <to>
                <xdr:col>9</xdr:col>
                <xdr:colOff>390525</xdr:colOff>
                <xdr:row>14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037" r:id="rId11" name="Button 5">
          <controlPr defaultSize="0" print="0" autoFill="0" autoPict="0" macro="[0]!OpenForm_R_YearRecords_pickWorker">
            <anchor moveWithCells="1">
              <from>
                <xdr:col>3</xdr:col>
                <xdr:colOff>466725</xdr:colOff>
                <xdr:row>9</xdr:row>
                <xdr:rowOff>76200</xdr:rowOff>
              </from>
              <to>
                <xdr:col>5</xdr:col>
                <xdr:colOff>161925</xdr:colOff>
                <xdr:row>10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039" r:id="rId12" name="Button 7">
          <controlPr defaultSize="0" print="0" autoFill="0" autoPict="0" macro="[0]!OpenForm_R_YearRecords_pickYear">
            <anchor moveWithCells="1">
              <from>
                <xdr:col>8</xdr:col>
                <xdr:colOff>85725</xdr:colOff>
                <xdr:row>9</xdr:row>
                <xdr:rowOff>85725</xdr:rowOff>
              </from>
              <to>
                <xdr:col>9</xdr:col>
                <xdr:colOff>361950</xdr:colOff>
                <xdr:row>10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040" r:id="rId13" name="Button 8">
          <controlPr defaultSize="0" print="0" autoFill="0" autoPict="0" macro="[0]!Open_Z_YearRecords_doc">
            <anchor moveWithCells="1">
              <from>
                <xdr:col>5</xdr:col>
                <xdr:colOff>361950</xdr:colOff>
                <xdr:row>12</xdr:row>
                <xdr:rowOff>85725</xdr:rowOff>
              </from>
              <to>
                <xdr:col>7</xdr:col>
                <xdr:colOff>104775</xdr:colOff>
                <xdr:row>14</xdr:row>
                <xdr:rowOff>123825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B5F37-75E7-48BC-A17B-C10299AECB6F}">
  <sheetPr codeName="Arkusz11">
    <tabColor theme="9"/>
    <pageSetUpPr fitToPage="1"/>
  </sheetPr>
  <dimension ref="A1:X362"/>
  <sheetViews>
    <sheetView showGridLines="0" zoomScale="115" zoomScaleNormal="115" workbookViewId="0">
      <selection activeCell="G25" sqref="G25:G31"/>
    </sheetView>
  </sheetViews>
  <sheetFormatPr defaultColWidth="0" defaultRowHeight="15" x14ac:dyDescent="0.25"/>
  <cols>
    <col min="1" max="3" width="9.140625" customWidth="1"/>
    <col min="4" max="5" width="16.140625" customWidth="1"/>
    <col min="6" max="6" width="18.7109375" customWidth="1"/>
    <col min="7" max="7" width="11" customWidth="1"/>
    <col min="8" max="8" width="13.140625" customWidth="1"/>
    <col min="9" max="9" width="10.42578125" customWidth="1"/>
    <col min="10" max="23" width="9.140625" customWidth="1"/>
    <col min="24" max="24" width="0" hidden="1" customWidth="1"/>
    <col min="25" max="16384" width="9.140625" hidden="1"/>
  </cols>
  <sheetData>
    <row r="1" spans="1:24" x14ac:dyDescent="0.25">
      <c r="A1" s="1"/>
      <c r="B1" s="1"/>
      <c r="C1" s="1"/>
      <c r="D1" s="1"/>
      <c r="E1" s="1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</row>
    <row r="2" spans="1:24" ht="26.25" x14ac:dyDescent="0.4">
      <c r="A2" s="1"/>
      <c r="B2" s="1"/>
      <c r="C2" s="1"/>
      <c r="D2" s="3" t="s">
        <v>98</v>
      </c>
      <c r="E2" s="1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</row>
    <row r="3" spans="1:24" ht="18.75" x14ac:dyDescent="0.3">
      <c r="A3" s="1"/>
      <c r="B3" s="1"/>
      <c r="C3" s="1"/>
      <c r="E3" s="75" t="s">
        <v>96</v>
      </c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</row>
    <row r="4" spans="1:24" ht="23.25" x14ac:dyDescent="0.35">
      <c r="A4" s="1"/>
      <c r="B4" s="1"/>
      <c r="C4" s="1"/>
      <c r="D4" s="1"/>
      <c r="E4" s="76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</row>
    <row r="5" spans="1:24" x14ac:dyDescent="0.25">
      <c r="A5" s="1"/>
      <c r="B5" s="1"/>
      <c r="C5" s="1"/>
      <c r="D5" s="1"/>
      <c r="E5" s="1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</row>
    <row r="6" spans="1:24" ht="15.75" thickBot="1" x14ac:dyDescent="0.3">
      <c r="A6" s="2"/>
      <c r="B6" s="2"/>
      <c r="C6" s="2"/>
      <c r="D6" s="2"/>
      <c r="E6" s="2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</row>
    <row r="9" spans="1:24" x14ac:dyDescent="0.25">
      <c r="C9" s="83"/>
      <c r="D9" s="84" t="s">
        <v>101</v>
      </c>
      <c r="E9" s="85"/>
      <c r="F9" s="85"/>
      <c r="G9" s="85"/>
      <c r="H9" s="85"/>
      <c r="I9" s="86"/>
    </row>
    <row r="10" spans="1:24" x14ac:dyDescent="0.25">
      <c r="C10" s="77"/>
      <c r="D10" s="8"/>
      <c r="E10" s="8"/>
      <c r="F10" s="8"/>
      <c r="G10" s="8"/>
      <c r="H10" s="8"/>
      <c r="I10" s="78"/>
    </row>
    <row r="11" spans="1:24" x14ac:dyDescent="0.25">
      <c r="C11" s="77"/>
      <c r="D11" s="79" t="s">
        <v>102</v>
      </c>
      <c r="E11" s="346"/>
      <c r="F11" s="345"/>
      <c r="G11" s="345"/>
      <c r="H11" s="345"/>
      <c r="I11" s="78"/>
    </row>
    <row r="12" spans="1:24" x14ac:dyDescent="0.25">
      <c r="C12" s="77"/>
      <c r="D12" s="79" t="s">
        <v>104</v>
      </c>
      <c r="E12" s="345"/>
      <c r="F12" s="345"/>
      <c r="G12" s="345"/>
      <c r="H12" s="345"/>
      <c r="I12" s="78"/>
    </row>
    <row r="13" spans="1:24" x14ac:dyDescent="0.25">
      <c r="C13" s="77"/>
      <c r="D13" s="79" t="s">
        <v>103</v>
      </c>
      <c r="E13" s="345"/>
      <c r="F13" s="345"/>
      <c r="G13" s="345"/>
      <c r="H13" s="345"/>
      <c r="I13" s="78"/>
    </row>
    <row r="14" spans="1:24" x14ac:dyDescent="0.25">
      <c r="C14" s="77"/>
      <c r="D14" s="8"/>
      <c r="E14" s="8"/>
      <c r="F14" s="8"/>
      <c r="G14" s="8"/>
      <c r="H14" s="8"/>
      <c r="I14" s="78"/>
    </row>
    <row r="15" spans="1:24" x14ac:dyDescent="0.25">
      <c r="C15" s="77"/>
      <c r="D15" s="8"/>
      <c r="E15" s="8"/>
      <c r="F15" s="8"/>
      <c r="G15" s="8"/>
      <c r="H15" s="8"/>
      <c r="I15" s="78"/>
    </row>
    <row r="16" spans="1:24" x14ac:dyDescent="0.25">
      <c r="C16" s="77"/>
      <c r="D16" s="8"/>
      <c r="E16" s="8"/>
      <c r="F16" s="8"/>
      <c r="G16" s="8"/>
      <c r="H16" s="8"/>
      <c r="I16" s="78"/>
    </row>
    <row r="17" spans="3:9" x14ac:dyDescent="0.25">
      <c r="C17" s="80"/>
      <c r="D17" s="81"/>
      <c r="E17" s="81"/>
      <c r="F17" s="81"/>
      <c r="G17" s="81"/>
      <c r="H17" s="81"/>
      <c r="I17" s="82"/>
    </row>
    <row r="20" spans="3:9" ht="30" x14ac:dyDescent="0.25">
      <c r="C20" s="87" t="s">
        <v>29</v>
      </c>
      <c r="D20" s="88" t="s">
        <v>107</v>
      </c>
      <c r="E20" s="88" t="s">
        <v>106</v>
      </c>
      <c r="F20" s="88" t="s">
        <v>97</v>
      </c>
      <c r="G20" s="88" t="s">
        <v>100</v>
      </c>
      <c r="H20" s="88" t="s">
        <v>105</v>
      </c>
      <c r="I20" s="88" t="s">
        <v>99</v>
      </c>
    </row>
    <row r="21" spans="3:9" x14ac:dyDescent="0.25">
      <c r="C21" s="5"/>
      <c r="D21" s="24"/>
      <c r="E21" s="24"/>
      <c r="F21" s="24"/>
      <c r="G21" s="19"/>
      <c r="H21" s="19"/>
      <c r="I21" s="19"/>
    </row>
    <row r="22" spans="3:9" x14ac:dyDescent="0.25">
      <c r="C22" s="5"/>
      <c r="D22" s="24"/>
      <c r="E22" s="24"/>
      <c r="F22" s="24"/>
      <c r="G22" s="19"/>
      <c r="H22" s="19"/>
      <c r="I22" s="19"/>
    </row>
    <row r="23" spans="3:9" x14ac:dyDescent="0.25">
      <c r="C23" s="5"/>
      <c r="D23" s="24"/>
      <c r="E23" s="24"/>
      <c r="F23" s="24"/>
      <c r="G23" s="19"/>
      <c r="H23" s="19"/>
      <c r="I23" s="19"/>
    </row>
    <row r="24" spans="3:9" x14ac:dyDescent="0.25">
      <c r="C24" s="5"/>
      <c r="D24" s="24"/>
      <c r="E24" s="24"/>
      <c r="F24" s="24"/>
      <c r="G24" s="19"/>
      <c r="H24" s="19"/>
      <c r="I24" s="19"/>
    </row>
    <row r="25" spans="3:9" x14ac:dyDescent="0.25">
      <c r="C25" s="5"/>
      <c r="D25" s="24"/>
      <c r="E25" s="24"/>
      <c r="F25" s="24"/>
      <c r="G25" s="19"/>
      <c r="H25" s="19"/>
      <c r="I25" s="19"/>
    </row>
    <row r="26" spans="3:9" x14ac:dyDescent="0.25">
      <c r="C26" s="5"/>
      <c r="D26" s="24"/>
      <c r="E26" s="24"/>
      <c r="F26" s="24"/>
      <c r="G26" s="19"/>
      <c r="H26" s="19"/>
      <c r="I26" s="19"/>
    </row>
    <row r="27" spans="3:9" x14ac:dyDescent="0.25">
      <c r="C27" s="5"/>
      <c r="D27" s="24"/>
      <c r="E27" s="24"/>
      <c r="F27" s="24"/>
      <c r="G27" s="19"/>
      <c r="H27" s="19"/>
      <c r="I27" s="19"/>
    </row>
    <row r="28" spans="3:9" x14ac:dyDescent="0.25">
      <c r="D28" s="23"/>
      <c r="E28" s="23"/>
      <c r="F28" s="23"/>
      <c r="G28" s="47"/>
      <c r="H28" s="47"/>
      <c r="I28" s="47"/>
    </row>
    <row r="29" spans="3:9" x14ac:dyDescent="0.25">
      <c r="D29" s="23"/>
      <c r="E29" s="23"/>
      <c r="F29" s="23"/>
      <c r="G29" s="47"/>
      <c r="H29" s="47"/>
      <c r="I29" s="47"/>
    </row>
    <row r="30" spans="3:9" x14ac:dyDescent="0.25">
      <c r="D30" s="23"/>
      <c r="E30" s="23"/>
      <c r="F30" s="23"/>
      <c r="G30" s="47"/>
      <c r="H30" s="47"/>
      <c r="I30" s="47"/>
    </row>
    <row r="31" spans="3:9" x14ac:dyDescent="0.25">
      <c r="D31" s="23"/>
      <c r="E31" s="23"/>
      <c r="F31" s="23"/>
      <c r="G31" s="47"/>
      <c r="H31" s="47"/>
      <c r="I31" s="47"/>
    </row>
    <row r="32" spans="3:9" x14ac:dyDescent="0.25">
      <c r="D32" s="23"/>
      <c r="E32" s="23"/>
      <c r="F32" s="23"/>
      <c r="G32" s="47"/>
      <c r="H32" s="47"/>
      <c r="I32" s="47"/>
    </row>
    <row r="33" spans="4:9" x14ac:dyDescent="0.25">
      <c r="D33" s="23"/>
      <c r="E33" s="23"/>
      <c r="F33" s="23"/>
      <c r="G33" s="47"/>
      <c r="H33" s="47"/>
      <c r="I33" s="47"/>
    </row>
    <row r="34" spans="4:9" x14ac:dyDescent="0.25">
      <c r="D34" s="23"/>
      <c r="E34" s="23"/>
      <c r="F34" s="23"/>
      <c r="G34" s="47"/>
      <c r="H34" s="47"/>
      <c r="I34" s="47"/>
    </row>
    <row r="35" spans="4:9" x14ac:dyDescent="0.25">
      <c r="D35" s="23"/>
      <c r="E35" s="23"/>
      <c r="F35" s="23"/>
      <c r="G35" s="47"/>
      <c r="H35" s="47"/>
      <c r="I35" s="47"/>
    </row>
    <row r="36" spans="4:9" x14ac:dyDescent="0.25">
      <c r="D36" s="23"/>
      <c r="E36" s="23"/>
      <c r="F36" s="23"/>
      <c r="G36" s="47"/>
      <c r="H36" s="47"/>
      <c r="I36" s="47"/>
    </row>
    <row r="37" spans="4:9" x14ac:dyDescent="0.25">
      <c r="D37" s="23"/>
      <c r="E37" s="23"/>
      <c r="F37" s="23"/>
      <c r="G37" s="47"/>
      <c r="H37" s="47"/>
      <c r="I37" s="47"/>
    </row>
    <row r="38" spans="4:9" x14ac:dyDescent="0.25">
      <c r="D38" s="23"/>
      <c r="E38" s="23"/>
      <c r="F38" s="23"/>
      <c r="G38" s="47"/>
      <c r="H38" s="47"/>
      <c r="I38" s="47"/>
    </row>
    <row r="39" spans="4:9" x14ac:dyDescent="0.25">
      <c r="D39" s="23"/>
      <c r="E39" s="23"/>
      <c r="F39" s="23"/>
      <c r="G39" s="47"/>
      <c r="H39" s="47"/>
      <c r="I39" s="47"/>
    </row>
    <row r="40" spans="4:9" x14ac:dyDescent="0.25">
      <c r="D40" s="23"/>
      <c r="E40" s="23"/>
      <c r="F40" s="23"/>
      <c r="G40" s="47"/>
      <c r="H40" s="47"/>
      <c r="I40" s="47"/>
    </row>
    <row r="41" spans="4:9" x14ac:dyDescent="0.25">
      <c r="D41" s="23"/>
      <c r="E41" s="23"/>
      <c r="F41" s="23"/>
      <c r="G41" s="47"/>
      <c r="H41" s="47"/>
      <c r="I41" s="47"/>
    </row>
    <row r="42" spans="4:9" x14ac:dyDescent="0.25">
      <c r="D42" s="23"/>
      <c r="E42" s="23"/>
      <c r="F42" s="23"/>
      <c r="G42" s="47"/>
      <c r="H42" s="47"/>
      <c r="I42" s="47"/>
    </row>
    <row r="43" spans="4:9" x14ac:dyDescent="0.25">
      <c r="D43" s="23"/>
      <c r="E43" s="23"/>
      <c r="F43" s="23"/>
      <c r="G43" s="47"/>
      <c r="H43" s="47"/>
      <c r="I43" s="47"/>
    </row>
    <row r="44" spans="4:9" x14ac:dyDescent="0.25">
      <c r="D44" s="23"/>
      <c r="E44" s="23"/>
      <c r="F44" s="23"/>
      <c r="G44" s="47"/>
      <c r="H44" s="47"/>
      <c r="I44" s="47"/>
    </row>
    <row r="45" spans="4:9" x14ac:dyDescent="0.25">
      <c r="D45" s="23"/>
      <c r="E45" s="23"/>
      <c r="F45" s="23"/>
      <c r="G45" s="47"/>
      <c r="H45" s="47"/>
      <c r="I45" s="47"/>
    </row>
    <row r="46" spans="4:9" x14ac:dyDescent="0.25">
      <c r="D46" s="23"/>
      <c r="E46" s="23"/>
      <c r="F46" s="23"/>
      <c r="G46" s="47"/>
      <c r="H46" s="47"/>
      <c r="I46" s="47"/>
    </row>
    <row r="47" spans="4:9" x14ac:dyDescent="0.25">
      <c r="D47" s="23"/>
      <c r="E47" s="23"/>
      <c r="F47" s="23"/>
      <c r="G47" s="47"/>
      <c r="H47" s="47"/>
      <c r="I47" s="47"/>
    </row>
    <row r="48" spans="4:9" x14ac:dyDescent="0.25">
      <c r="D48" s="23"/>
      <c r="E48" s="23"/>
      <c r="F48" s="23"/>
      <c r="G48" s="47"/>
      <c r="H48" s="47"/>
      <c r="I48" s="47"/>
    </row>
    <row r="49" spans="4:9" x14ac:dyDescent="0.25">
      <c r="D49" s="23"/>
      <c r="E49" s="23"/>
      <c r="F49" s="23"/>
      <c r="G49" s="47"/>
      <c r="H49" s="47"/>
      <c r="I49" s="47"/>
    </row>
    <row r="50" spans="4:9" x14ac:dyDescent="0.25">
      <c r="D50" s="23"/>
      <c r="E50" s="23"/>
      <c r="F50" s="23"/>
      <c r="G50" s="47"/>
      <c r="H50" s="47"/>
      <c r="I50" s="47"/>
    </row>
    <row r="51" spans="4:9" x14ac:dyDescent="0.25">
      <c r="D51" s="23"/>
      <c r="E51" s="23"/>
      <c r="F51" s="23"/>
      <c r="G51" s="47"/>
      <c r="H51" s="47"/>
      <c r="I51" s="47"/>
    </row>
    <row r="52" spans="4:9" x14ac:dyDescent="0.25">
      <c r="D52" s="23"/>
      <c r="E52" s="23"/>
      <c r="F52" s="23"/>
      <c r="G52" s="47"/>
      <c r="H52" s="47"/>
      <c r="I52" s="47"/>
    </row>
    <row r="53" spans="4:9" x14ac:dyDescent="0.25">
      <c r="D53" s="23"/>
      <c r="E53" s="23"/>
      <c r="F53" s="23"/>
      <c r="G53" s="47"/>
      <c r="H53" s="47"/>
      <c r="I53" s="47"/>
    </row>
    <row r="54" spans="4:9" x14ac:dyDescent="0.25">
      <c r="D54" s="23"/>
      <c r="E54" s="23"/>
      <c r="F54" s="23"/>
      <c r="G54" s="47"/>
      <c r="H54" s="47"/>
      <c r="I54" s="47"/>
    </row>
    <row r="55" spans="4:9" x14ac:dyDescent="0.25">
      <c r="D55" s="23"/>
      <c r="E55" s="23"/>
      <c r="F55" s="23"/>
      <c r="G55" s="47"/>
      <c r="H55" s="47"/>
      <c r="I55" s="47"/>
    </row>
    <row r="56" spans="4:9" x14ac:dyDescent="0.25">
      <c r="D56" s="23"/>
      <c r="E56" s="23"/>
      <c r="F56" s="23"/>
      <c r="G56" s="47"/>
      <c r="H56" s="47"/>
      <c r="I56" s="47"/>
    </row>
    <row r="57" spans="4:9" x14ac:dyDescent="0.25">
      <c r="D57" s="23"/>
      <c r="E57" s="23"/>
      <c r="F57" s="23"/>
      <c r="G57" s="47"/>
      <c r="H57" s="47"/>
      <c r="I57" s="47"/>
    </row>
    <row r="58" spans="4:9" x14ac:dyDescent="0.25">
      <c r="D58" s="23"/>
      <c r="E58" s="23"/>
      <c r="F58" s="23"/>
      <c r="G58" s="47"/>
      <c r="H58" s="47"/>
      <c r="I58" s="47"/>
    </row>
    <row r="59" spans="4:9" x14ac:dyDescent="0.25">
      <c r="D59" s="23"/>
      <c r="E59" s="23"/>
      <c r="F59" s="23"/>
      <c r="G59" s="47"/>
      <c r="H59" s="47"/>
      <c r="I59" s="47"/>
    </row>
    <row r="60" spans="4:9" x14ac:dyDescent="0.25">
      <c r="D60" s="23"/>
      <c r="E60" s="23"/>
      <c r="F60" s="23"/>
      <c r="G60" s="47"/>
      <c r="H60" s="47"/>
      <c r="I60" s="47"/>
    </row>
    <row r="61" spans="4:9" x14ac:dyDescent="0.25">
      <c r="D61" s="23"/>
      <c r="E61" s="23"/>
      <c r="F61" s="23"/>
      <c r="G61" s="47"/>
      <c r="H61" s="47"/>
      <c r="I61" s="47"/>
    </row>
    <row r="62" spans="4:9" x14ac:dyDescent="0.25">
      <c r="D62" s="23"/>
      <c r="E62" s="23"/>
      <c r="F62" s="23"/>
      <c r="G62" s="47"/>
      <c r="H62" s="47"/>
      <c r="I62" s="47"/>
    </row>
    <row r="63" spans="4:9" x14ac:dyDescent="0.25">
      <c r="D63" s="23"/>
      <c r="E63" s="23"/>
      <c r="F63" s="23"/>
      <c r="G63" s="47"/>
      <c r="H63" s="47"/>
      <c r="I63" s="47"/>
    </row>
    <row r="64" spans="4:9" x14ac:dyDescent="0.25">
      <c r="D64" s="23"/>
      <c r="E64" s="23"/>
      <c r="F64" s="23"/>
      <c r="G64" s="47"/>
      <c r="H64" s="47"/>
      <c r="I64" s="47"/>
    </row>
    <row r="65" spans="4:9" x14ac:dyDescent="0.25">
      <c r="D65" s="23"/>
      <c r="E65" s="23"/>
      <c r="F65" s="23"/>
      <c r="G65" s="47"/>
      <c r="H65" s="47"/>
      <c r="I65" s="47"/>
    </row>
    <row r="66" spans="4:9" x14ac:dyDescent="0.25">
      <c r="D66" s="23"/>
      <c r="E66" s="23"/>
      <c r="F66" s="23"/>
      <c r="G66" s="47"/>
      <c r="H66" s="47"/>
      <c r="I66" s="47"/>
    </row>
    <row r="67" spans="4:9" x14ac:dyDescent="0.25">
      <c r="D67" s="23"/>
      <c r="E67" s="23"/>
      <c r="F67" s="23"/>
      <c r="G67" s="47"/>
      <c r="H67" s="47"/>
      <c r="I67" s="47"/>
    </row>
    <row r="68" spans="4:9" x14ac:dyDescent="0.25">
      <c r="D68" s="23"/>
      <c r="E68" s="23"/>
      <c r="F68" s="23"/>
      <c r="G68" s="47"/>
      <c r="H68" s="47"/>
      <c r="I68" s="47"/>
    </row>
    <row r="69" spans="4:9" x14ac:dyDescent="0.25">
      <c r="D69" s="23"/>
      <c r="E69" s="23"/>
      <c r="F69" s="23"/>
      <c r="G69" s="47"/>
      <c r="H69" s="47"/>
      <c r="I69" s="47"/>
    </row>
    <row r="70" spans="4:9" x14ac:dyDescent="0.25">
      <c r="D70" s="23"/>
      <c r="E70" s="23"/>
      <c r="F70" s="23"/>
      <c r="G70" s="47"/>
      <c r="H70" s="47"/>
      <c r="I70" s="47"/>
    </row>
    <row r="71" spans="4:9" x14ac:dyDescent="0.25">
      <c r="D71" s="23"/>
      <c r="E71" s="23"/>
      <c r="F71" s="23"/>
      <c r="G71" s="47"/>
      <c r="H71" s="47"/>
      <c r="I71" s="47"/>
    </row>
    <row r="72" spans="4:9" x14ac:dyDescent="0.25">
      <c r="D72" s="23"/>
      <c r="E72" s="23"/>
      <c r="F72" s="23"/>
      <c r="G72" s="47"/>
      <c r="H72" s="47"/>
      <c r="I72" s="47"/>
    </row>
    <row r="73" spans="4:9" x14ac:dyDescent="0.25">
      <c r="D73" s="23"/>
      <c r="E73" s="23"/>
      <c r="F73" s="23"/>
      <c r="G73" s="47"/>
      <c r="H73" s="47"/>
      <c r="I73" s="47"/>
    </row>
    <row r="74" spans="4:9" x14ac:dyDescent="0.25">
      <c r="D74" s="23"/>
      <c r="E74" s="23"/>
      <c r="F74" s="23"/>
      <c r="G74" s="47"/>
      <c r="H74" s="47"/>
      <c r="I74" s="47"/>
    </row>
    <row r="75" spans="4:9" x14ac:dyDescent="0.25">
      <c r="D75" s="23"/>
      <c r="E75" s="23"/>
      <c r="F75" s="23"/>
      <c r="G75" s="47"/>
      <c r="H75" s="47"/>
      <c r="I75" s="47"/>
    </row>
    <row r="76" spans="4:9" x14ac:dyDescent="0.25">
      <c r="D76" s="23"/>
      <c r="E76" s="23"/>
      <c r="F76" s="23"/>
      <c r="G76" s="47"/>
      <c r="H76" s="47"/>
      <c r="I76" s="47"/>
    </row>
    <row r="77" spans="4:9" x14ac:dyDescent="0.25">
      <c r="D77" s="23"/>
      <c r="E77" s="23"/>
      <c r="F77" s="23"/>
      <c r="G77" s="47"/>
      <c r="H77" s="47"/>
      <c r="I77" s="47"/>
    </row>
    <row r="78" spans="4:9" x14ac:dyDescent="0.25">
      <c r="D78" s="23"/>
      <c r="E78" s="23"/>
      <c r="F78" s="23"/>
      <c r="G78" s="47"/>
      <c r="H78" s="47"/>
      <c r="I78" s="47"/>
    </row>
    <row r="79" spans="4:9" x14ac:dyDescent="0.25">
      <c r="D79" s="23"/>
      <c r="E79" s="23"/>
      <c r="F79" s="23"/>
      <c r="G79" s="47"/>
      <c r="H79" s="47"/>
      <c r="I79" s="47"/>
    </row>
    <row r="80" spans="4:9" x14ac:dyDescent="0.25">
      <c r="D80" s="23"/>
      <c r="E80" s="23"/>
      <c r="F80" s="23"/>
      <c r="G80" s="47"/>
      <c r="H80" s="47"/>
      <c r="I80" s="47"/>
    </row>
    <row r="81" spans="4:9" x14ac:dyDescent="0.25">
      <c r="D81" s="23"/>
      <c r="E81" s="23"/>
      <c r="F81" s="23"/>
      <c r="G81" s="47"/>
      <c r="H81" s="47"/>
      <c r="I81" s="47"/>
    </row>
    <row r="82" spans="4:9" x14ac:dyDescent="0.25">
      <c r="D82" s="23"/>
      <c r="E82" s="23"/>
      <c r="F82" s="23"/>
      <c r="G82" s="47"/>
      <c r="H82" s="47"/>
      <c r="I82" s="47"/>
    </row>
    <row r="83" spans="4:9" x14ac:dyDescent="0.25">
      <c r="D83" s="23"/>
      <c r="E83" s="23"/>
      <c r="F83" s="23"/>
      <c r="G83" s="47"/>
      <c r="H83" s="47"/>
      <c r="I83" s="47"/>
    </row>
    <row r="84" spans="4:9" x14ac:dyDescent="0.25">
      <c r="D84" s="23"/>
      <c r="E84" s="23"/>
      <c r="F84" s="23"/>
      <c r="G84" s="47"/>
      <c r="H84" s="47"/>
      <c r="I84" s="47"/>
    </row>
    <row r="85" spans="4:9" x14ac:dyDescent="0.25">
      <c r="D85" s="23"/>
      <c r="E85" s="23"/>
      <c r="F85" s="23"/>
      <c r="G85" s="47"/>
      <c r="H85" s="47"/>
      <c r="I85" s="47"/>
    </row>
    <row r="86" spans="4:9" x14ac:dyDescent="0.25">
      <c r="D86" s="23"/>
      <c r="E86" s="23"/>
      <c r="F86" s="23"/>
      <c r="G86" s="47"/>
      <c r="H86" s="47"/>
      <c r="I86" s="47"/>
    </row>
    <row r="87" spans="4:9" x14ac:dyDescent="0.25">
      <c r="D87" s="23"/>
      <c r="E87" s="23"/>
      <c r="F87" s="23"/>
      <c r="G87" s="47"/>
      <c r="H87" s="47"/>
      <c r="I87" s="47"/>
    </row>
    <row r="88" spans="4:9" x14ac:dyDescent="0.25">
      <c r="D88" s="23"/>
      <c r="E88" s="23"/>
      <c r="F88" s="23"/>
      <c r="G88" s="47"/>
      <c r="H88" s="47"/>
      <c r="I88" s="47"/>
    </row>
    <row r="89" spans="4:9" x14ac:dyDescent="0.25">
      <c r="D89" s="23"/>
      <c r="E89" s="23"/>
      <c r="F89" s="23"/>
      <c r="G89" s="47"/>
      <c r="H89" s="47"/>
      <c r="I89" s="47"/>
    </row>
    <row r="90" spans="4:9" x14ac:dyDescent="0.25">
      <c r="D90" s="23"/>
      <c r="E90" s="23"/>
      <c r="F90" s="23"/>
      <c r="G90" s="47"/>
      <c r="H90" s="47"/>
      <c r="I90" s="47"/>
    </row>
    <row r="91" spans="4:9" x14ac:dyDescent="0.25">
      <c r="D91" s="23"/>
      <c r="E91" s="23"/>
      <c r="F91" s="23"/>
      <c r="G91" s="47"/>
      <c r="H91" s="47"/>
      <c r="I91" s="47"/>
    </row>
    <row r="92" spans="4:9" x14ac:dyDescent="0.25">
      <c r="D92" s="23"/>
      <c r="E92" s="23"/>
      <c r="F92" s="23"/>
      <c r="G92" s="47"/>
      <c r="H92" s="47"/>
      <c r="I92" s="47"/>
    </row>
    <row r="93" spans="4:9" x14ac:dyDescent="0.25">
      <c r="D93" s="23"/>
      <c r="E93" s="23"/>
      <c r="F93" s="23"/>
      <c r="G93" s="47"/>
      <c r="H93" s="47"/>
      <c r="I93" s="47"/>
    </row>
    <row r="94" spans="4:9" x14ac:dyDescent="0.25">
      <c r="D94" s="23"/>
      <c r="E94" s="23"/>
      <c r="F94" s="23"/>
      <c r="G94" s="47"/>
      <c r="H94" s="47"/>
      <c r="I94" s="47"/>
    </row>
    <row r="95" spans="4:9" x14ac:dyDescent="0.25">
      <c r="D95" s="23"/>
      <c r="E95" s="23"/>
      <c r="F95" s="23"/>
      <c r="G95" s="47"/>
      <c r="H95" s="47"/>
      <c r="I95" s="47"/>
    </row>
    <row r="96" spans="4:9" x14ac:dyDescent="0.25">
      <c r="D96" s="23"/>
      <c r="E96" s="23"/>
      <c r="F96" s="23"/>
      <c r="G96" s="47"/>
      <c r="H96" s="47"/>
      <c r="I96" s="47"/>
    </row>
    <row r="97" spans="4:9" x14ac:dyDescent="0.25">
      <c r="D97" s="23"/>
      <c r="E97" s="23"/>
      <c r="F97" s="23"/>
      <c r="G97" s="47"/>
      <c r="H97" s="47"/>
      <c r="I97" s="47"/>
    </row>
    <row r="98" spans="4:9" x14ac:dyDescent="0.25">
      <c r="D98" s="23"/>
      <c r="E98" s="23"/>
      <c r="F98" s="23"/>
      <c r="G98" s="47"/>
      <c r="H98" s="47"/>
      <c r="I98" s="47"/>
    </row>
    <row r="99" spans="4:9" x14ac:dyDescent="0.25">
      <c r="D99" s="23"/>
      <c r="E99" s="23"/>
      <c r="F99" s="23"/>
      <c r="G99" s="47"/>
      <c r="H99" s="47"/>
      <c r="I99" s="47"/>
    </row>
    <row r="100" spans="4:9" x14ac:dyDescent="0.25">
      <c r="D100" s="23"/>
      <c r="E100" s="23"/>
      <c r="F100" s="23"/>
      <c r="G100" s="47"/>
      <c r="H100" s="47"/>
      <c r="I100" s="47"/>
    </row>
    <row r="101" spans="4:9" x14ac:dyDescent="0.25">
      <c r="D101" s="23"/>
      <c r="E101" s="23"/>
      <c r="F101" s="23"/>
      <c r="G101" s="47"/>
      <c r="H101" s="47"/>
      <c r="I101" s="47"/>
    </row>
    <row r="102" spans="4:9" x14ac:dyDescent="0.25">
      <c r="D102" s="23"/>
      <c r="E102" s="23"/>
      <c r="F102" s="23"/>
      <c r="G102" s="47"/>
      <c r="H102" s="47"/>
      <c r="I102" s="47"/>
    </row>
    <row r="103" spans="4:9" x14ac:dyDescent="0.25">
      <c r="D103" s="23"/>
      <c r="E103" s="23"/>
      <c r="F103" s="23"/>
      <c r="G103" s="47"/>
      <c r="H103" s="47"/>
      <c r="I103" s="47"/>
    </row>
    <row r="104" spans="4:9" x14ac:dyDescent="0.25">
      <c r="D104" s="23"/>
      <c r="E104" s="23"/>
      <c r="F104" s="23"/>
      <c r="G104" s="47"/>
      <c r="H104" s="47"/>
      <c r="I104" s="47"/>
    </row>
    <row r="105" spans="4:9" x14ac:dyDescent="0.25">
      <c r="D105" s="23"/>
      <c r="E105" s="23"/>
      <c r="F105" s="23"/>
      <c r="G105" s="47"/>
      <c r="H105" s="47"/>
      <c r="I105" s="47"/>
    </row>
    <row r="106" spans="4:9" x14ac:dyDescent="0.25">
      <c r="D106" s="23"/>
      <c r="E106" s="23"/>
      <c r="F106" s="23"/>
      <c r="G106" s="47"/>
      <c r="H106" s="47"/>
      <c r="I106" s="47"/>
    </row>
    <row r="107" spans="4:9" x14ac:dyDescent="0.25">
      <c r="D107" s="23"/>
      <c r="E107" s="23"/>
      <c r="F107" s="23"/>
      <c r="G107" s="47"/>
      <c r="H107" s="47"/>
      <c r="I107" s="47"/>
    </row>
    <row r="108" spans="4:9" x14ac:dyDescent="0.25">
      <c r="D108" s="23"/>
      <c r="E108" s="23"/>
      <c r="F108" s="23"/>
      <c r="G108" s="47"/>
      <c r="H108" s="47"/>
      <c r="I108" s="47"/>
    </row>
    <row r="109" spans="4:9" x14ac:dyDescent="0.25">
      <c r="D109" s="23"/>
      <c r="E109" s="23"/>
      <c r="F109" s="23"/>
      <c r="G109" s="47"/>
      <c r="H109" s="47"/>
      <c r="I109" s="47"/>
    </row>
    <row r="110" spans="4:9" x14ac:dyDescent="0.25">
      <c r="D110" s="23"/>
      <c r="E110" s="23"/>
      <c r="F110" s="23"/>
      <c r="G110" s="47"/>
      <c r="H110" s="47"/>
      <c r="I110" s="47"/>
    </row>
    <row r="111" spans="4:9" x14ac:dyDescent="0.25">
      <c r="D111" s="23"/>
      <c r="E111" s="23"/>
      <c r="F111" s="23"/>
      <c r="G111" s="47"/>
      <c r="H111" s="47"/>
      <c r="I111" s="47"/>
    </row>
    <row r="112" spans="4:9" x14ac:dyDescent="0.25">
      <c r="D112" s="23"/>
      <c r="E112" s="23"/>
      <c r="F112" s="23"/>
      <c r="G112" s="47"/>
      <c r="H112" s="47"/>
      <c r="I112" s="47"/>
    </row>
    <row r="113" spans="4:9" x14ac:dyDescent="0.25">
      <c r="D113" s="23"/>
      <c r="E113" s="23"/>
      <c r="F113" s="23"/>
      <c r="G113" s="47"/>
      <c r="H113" s="47"/>
      <c r="I113" s="47"/>
    </row>
    <row r="114" spans="4:9" x14ac:dyDescent="0.25">
      <c r="D114" s="23"/>
      <c r="E114" s="23"/>
      <c r="F114" s="23"/>
      <c r="G114" s="47"/>
      <c r="H114" s="47"/>
      <c r="I114" s="47"/>
    </row>
    <row r="115" spans="4:9" x14ac:dyDescent="0.25">
      <c r="D115" s="23"/>
      <c r="E115" s="23"/>
      <c r="F115" s="23"/>
      <c r="G115" s="47"/>
      <c r="H115" s="47"/>
      <c r="I115" s="47"/>
    </row>
    <row r="116" spans="4:9" x14ac:dyDescent="0.25">
      <c r="D116" s="23"/>
      <c r="E116" s="23"/>
      <c r="F116" s="23"/>
      <c r="G116" s="47"/>
      <c r="H116" s="47"/>
      <c r="I116" s="47"/>
    </row>
    <row r="117" spans="4:9" x14ac:dyDescent="0.25">
      <c r="D117" s="23"/>
      <c r="E117" s="23"/>
      <c r="F117" s="23"/>
      <c r="G117" s="47"/>
      <c r="H117" s="47"/>
      <c r="I117" s="47"/>
    </row>
    <row r="118" spans="4:9" x14ac:dyDescent="0.25">
      <c r="D118" s="23"/>
      <c r="E118" s="23"/>
      <c r="F118" s="23"/>
      <c r="G118" s="47"/>
      <c r="H118" s="47"/>
      <c r="I118" s="47"/>
    </row>
    <row r="119" spans="4:9" x14ac:dyDescent="0.25">
      <c r="D119" s="23"/>
      <c r="E119" s="23"/>
      <c r="F119" s="23"/>
      <c r="G119" s="47"/>
      <c r="H119" s="47"/>
      <c r="I119" s="47"/>
    </row>
    <row r="120" spans="4:9" x14ac:dyDescent="0.25">
      <c r="D120" s="23"/>
      <c r="E120" s="23"/>
      <c r="F120" s="23"/>
      <c r="G120" s="47"/>
      <c r="H120" s="47"/>
      <c r="I120" s="47"/>
    </row>
    <row r="121" spans="4:9" x14ac:dyDescent="0.25">
      <c r="D121" s="23"/>
      <c r="E121" s="23"/>
      <c r="F121" s="23"/>
      <c r="G121" s="47"/>
      <c r="H121" s="47"/>
      <c r="I121" s="47"/>
    </row>
    <row r="122" spans="4:9" x14ac:dyDescent="0.25">
      <c r="D122" s="23"/>
      <c r="E122" s="23"/>
      <c r="F122" s="23"/>
      <c r="G122" s="47"/>
      <c r="H122" s="47"/>
      <c r="I122" s="47"/>
    </row>
    <row r="123" spans="4:9" x14ac:dyDescent="0.25">
      <c r="D123" s="23"/>
      <c r="E123" s="23"/>
      <c r="F123" s="23"/>
      <c r="G123" s="47"/>
      <c r="H123" s="47"/>
      <c r="I123" s="47"/>
    </row>
    <row r="124" spans="4:9" x14ac:dyDescent="0.25">
      <c r="D124" s="23"/>
      <c r="E124" s="23"/>
      <c r="F124" s="23"/>
      <c r="G124" s="47"/>
      <c r="H124" s="47"/>
      <c r="I124" s="47"/>
    </row>
    <row r="125" spans="4:9" x14ac:dyDescent="0.25">
      <c r="D125" s="23"/>
      <c r="E125" s="23"/>
      <c r="F125" s="23"/>
      <c r="G125" s="47"/>
      <c r="H125" s="47"/>
      <c r="I125" s="47"/>
    </row>
    <row r="126" spans="4:9" x14ac:dyDescent="0.25">
      <c r="D126" s="23"/>
      <c r="E126" s="23"/>
      <c r="F126" s="23"/>
      <c r="G126" s="47"/>
      <c r="H126" s="47"/>
      <c r="I126" s="47"/>
    </row>
    <row r="127" spans="4:9" x14ac:dyDescent="0.25">
      <c r="D127" s="23"/>
      <c r="E127" s="23"/>
      <c r="F127" s="23"/>
      <c r="G127" s="47"/>
      <c r="H127" s="47"/>
      <c r="I127" s="47"/>
    </row>
    <row r="128" spans="4:9" x14ac:dyDescent="0.25">
      <c r="D128" s="23"/>
      <c r="E128" s="23"/>
      <c r="F128" s="23"/>
      <c r="G128" s="47"/>
      <c r="H128" s="47"/>
      <c r="I128" s="47"/>
    </row>
    <row r="129" spans="4:9" x14ac:dyDescent="0.25">
      <c r="D129" s="23"/>
      <c r="E129" s="23"/>
      <c r="F129" s="23"/>
      <c r="G129" s="47"/>
      <c r="H129" s="47"/>
      <c r="I129" s="47"/>
    </row>
    <row r="130" spans="4:9" x14ac:dyDescent="0.25">
      <c r="D130" s="23"/>
      <c r="E130" s="23"/>
      <c r="F130" s="23"/>
      <c r="G130" s="47"/>
      <c r="H130" s="47"/>
      <c r="I130" s="47"/>
    </row>
    <row r="131" spans="4:9" x14ac:dyDescent="0.25">
      <c r="D131" s="23"/>
      <c r="E131" s="23"/>
      <c r="F131" s="23"/>
      <c r="G131" s="47"/>
      <c r="H131" s="47"/>
      <c r="I131" s="47"/>
    </row>
    <row r="132" spans="4:9" x14ac:dyDescent="0.25">
      <c r="D132" s="23"/>
      <c r="E132" s="23"/>
      <c r="F132" s="23"/>
      <c r="G132" s="47"/>
      <c r="H132" s="47"/>
      <c r="I132" s="47"/>
    </row>
    <row r="133" spans="4:9" x14ac:dyDescent="0.25">
      <c r="D133" s="23"/>
      <c r="E133" s="23"/>
      <c r="F133" s="23"/>
      <c r="G133" s="47"/>
      <c r="H133" s="47"/>
      <c r="I133" s="47"/>
    </row>
    <row r="134" spans="4:9" x14ac:dyDescent="0.25">
      <c r="D134" s="23"/>
      <c r="E134" s="23"/>
      <c r="F134" s="23"/>
      <c r="G134" s="47"/>
      <c r="H134" s="47"/>
      <c r="I134" s="47"/>
    </row>
    <row r="135" spans="4:9" x14ac:dyDescent="0.25">
      <c r="D135" s="23"/>
      <c r="E135" s="23"/>
      <c r="F135" s="23"/>
      <c r="G135" s="47"/>
      <c r="H135" s="47"/>
      <c r="I135" s="47"/>
    </row>
    <row r="136" spans="4:9" x14ac:dyDescent="0.25">
      <c r="D136" s="23"/>
      <c r="E136" s="23"/>
      <c r="F136" s="23"/>
      <c r="G136" s="47"/>
      <c r="H136" s="47"/>
      <c r="I136" s="47"/>
    </row>
    <row r="137" spans="4:9" x14ac:dyDescent="0.25">
      <c r="D137" s="23"/>
      <c r="E137" s="23"/>
      <c r="F137" s="23"/>
      <c r="G137" s="47"/>
      <c r="H137" s="47"/>
      <c r="I137" s="47"/>
    </row>
    <row r="138" spans="4:9" x14ac:dyDescent="0.25">
      <c r="D138" s="23"/>
      <c r="E138" s="23"/>
      <c r="F138" s="23"/>
      <c r="G138" s="47"/>
      <c r="H138" s="47"/>
      <c r="I138" s="47"/>
    </row>
    <row r="139" spans="4:9" x14ac:dyDescent="0.25">
      <c r="D139" s="23"/>
      <c r="E139" s="23"/>
      <c r="F139" s="23"/>
      <c r="G139" s="47"/>
      <c r="H139" s="47"/>
      <c r="I139" s="47"/>
    </row>
    <row r="140" spans="4:9" x14ac:dyDescent="0.25">
      <c r="D140" s="23"/>
      <c r="E140" s="23"/>
      <c r="F140" s="23"/>
      <c r="G140" s="47"/>
      <c r="H140" s="47"/>
      <c r="I140" s="47"/>
    </row>
    <row r="141" spans="4:9" x14ac:dyDescent="0.25">
      <c r="D141" s="23"/>
      <c r="E141" s="23"/>
      <c r="F141" s="23"/>
      <c r="G141" s="47"/>
      <c r="H141" s="47"/>
      <c r="I141" s="47"/>
    </row>
    <row r="142" spans="4:9" x14ac:dyDescent="0.25">
      <c r="D142" s="23"/>
      <c r="E142" s="23"/>
      <c r="F142" s="23"/>
      <c r="G142" s="47"/>
      <c r="H142" s="47"/>
      <c r="I142" s="47"/>
    </row>
    <row r="143" spans="4:9" x14ac:dyDescent="0.25">
      <c r="D143" s="23"/>
      <c r="E143" s="23"/>
      <c r="F143" s="23"/>
      <c r="G143" s="47"/>
      <c r="H143" s="47"/>
      <c r="I143" s="47"/>
    </row>
    <row r="144" spans="4:9" x14ac:dyDescent="0.25">
      <c r="D144" s="23"/>
      <c r="E144" s="23"/>
      <c r="F144" s="23"/>
      <c r="G144" s="47"/>
      <c r="H144" s="47"/>
      <c r="I144" s="47"/>
    </row>
    <row r="145" spans="4:9" x14ac:dyDescent="0.25">
      <c r="D145" s="23"/>
      <c r="E145" s="23"/>
      <c r="F145" s="23"/>
      <c r="G145" s="47"/>
      <c r="H145" s="47"/>
      <c r="I145" s="47"/>
    </row>
    <row r="146" spans="4:9" x14ac:dyDescent="0.25">
      <c r="D146" s="23"/>
      <c r="E146" s="23"/>
      <c r="F146" s="23"/>
      <c r="G146" s="47"/>
      <c r="H146" s="47"/>
      <c r="I146" s="47"/>
    </row>
    <row r="147" spans="4:9" x14ac:dyDescent="0.25">
      <c r="D147" s="23"/>
      <c r="E147" s="23"/>
      <c r="F147" s="23"/>
      <c r="G147" s="47"/>
      <c r="H147" s="47"/>
      <c r="I147" s="47"/>
    </row>
    <row r="148" spans="4:9" x14ac:dyDescent="0.25">
      <c r="D148" s="23"/>
      <c r="E148" s="23"/>
      <c r="F148" s="23"/>
      <c r="G148" s="47"/>
      <c r="H148" s="47"/>
      <c r="I148" s="47"/>
    </row>
    <row r="149" spans="4:9" x14ac:dyDescent="0.25">
      <c r="D149" s="23"/>
      <c r="E149" s="23"/>
      <c r="F149" s="23"/>
      <c r="G149" s="47"/>
      <c r="H149" s="47"/>
      <c r="I149" s="47"/>
    </row>
    <row r="150" spans="4:9" x14ac:dyDescent="0.25">
      <c r="D150" s="23"/>
      <c r="E150" s="23"/>
      <c r="F150" s="23"/>
      <c r="G150" s="47"/>
      <c r="H150" s="47"/>
      <c r="I150" s="47"/>
    </row>
    <row r="151" spans="4:9" x14ac:dyDescent="0.25">
      <c r="D151" s="23"/>
      <c r="E151" s="23"/>
      <c r="F151" s="23"/>
      <c r="G151" s="47"/>
      <c r="H151" s="47"/>
      <c r="I151" s="47"/>
    </row>
    <row r="152" spans="4:9" x14ac:dyDescent="0.25">
      <c r="D152" s="23"/>
      <c r="E152" s="23"/>
      <c r="F152" s="23"/>
      <c r="G152" s="47"/>
      <c r="H152" s="47"/>
      <c r="I152" s="47"/>
    </row>
    <row r="153" spans="4:9" x14ac:dyDescent="0.25">
      <c r="D153" s="23"/>
      <c r="E153" s="23"/>
      <c r="F153" s="23"/>
      <c r="G153" s="47"/>
      <c r="H153" s="47"/>
      <c r="I153" s="47"/>
    </row>
    <row r="154" spans="4:9" x14ac:dyDescent="0.25">
      <c r="D154" s="23"/>
      <c r="E154" s="23"/>
      <c r="F154" s="23"/>
      <c r="G154" s="47"/>
      <c r="H154" s="47"/>
      <c r="I154" s="47"/>
    </row>
    <row r="155" spans="4:9" x14ac:dyDescent="0.25">
      <c r="D155" s="23"/>
      <c r="E155" s="23"/>
      <c r="F155" s="23"/>
      <c r="G155" s="47"/>
      <c r="H155" s="47"/>
      <c r="I155" s="47"/>
    </row>
    <row r="156" spans="4:9" x14ac:dyDescent="0.25">
      <c r="D156" s="23"/>
      <c r="E156" s="23"/>
      <c r="F156" s="23"/>
      <c r="G156" s="47"/>
      <c r="H156" s="47"/>
      <c r="I156" s="47"/>
    </row>
    <row r="157" spans="4:9" x14ac:dyDescent="0.25">
      <c r="D157" s="23"/>
      <c r="E157" s="23"/>
      <c r="F157" s="23"/>
      <c r="G157" s="47"/>
      <c r="H157" s="47"/>
      <c r="I157" s="47"/>
    </row>
    <row r="158" spans="4:9" x14ac:dyDescent="0.25">
      <c r="D158" s="23"/>
      <c r="E158" s="23"/>
      <c r="F158" s="23"/>
      <c r="G158" s="47"/>
      <c r="H158" s="47"/>
      <c r="I158" s="47"/>
    </row>
    <row r="159" spans="4:9" x14ac:dyDescent="0.25">
      <c r="D159" s="23"/>
      <c r="E159" s="23"/>
      <c r="F159" s="23"/>
      <c r="G159" s="47"/>
      <c r="H159" s="47"/>
      <c r="I159" s="47"/>
    </row>
    <row r="160" spans="4:9" x14ac:dyDescent="0.25">
      <c r="D160" s="23"/>
      <c r="E160" s="23"/>
      <c r="F160" s="23"/>
      <c r="G160" s="47"/>
      <c r="H160" s="47"/>
      <c r="I160" s="47"/>
    </row>
    <row r="161" spans="4:9" x14ac:dyDescent="0.25">
      <c r="D161" s="23"/>
      <c r="E161" s="23"/>
      <c r="F161" s="23"/>
      <c r="G161" s="47"/>
      <c r="H161" s="47"/>
      <c r="I161" s="47"/>
    </row>
    <row r="162" spans="4:9" x14ac:dyDescent="0.25">
      <c r="D162" s="23"/>
      <c r="E162" s="23"/>
      <c r="F162" s="23"/>
      <c r="G162" s="47"/>
      <c r="H162" s="47"/>
      <c r="I162" s="47"/>
    </row>
    <row r="163" spans="4:9" x14ac:dyDescent="0.25">
      <c r="D163" s="23"/>
      <c r="E163" s="23"/>
      <c r="F163" s="23"/>
      <c r="G163" s="47"/>
      <c r="H163" s="47"/>
      <c r="I163" s="47"/>
    </row>
    <row r="164" spans="4:9" x14ac:dyDescent="0.25">
      <c r="D164" s="23"/>
      <c r="E164" s="23"/>
      <c r="F164" s="23"/>
      <c r="G164" s="47"/>
      <c r="H164" s="47"/>
      <c r="I164" s="47"/>
    </row>
    <row r="165" spans="4:9" x14ac:dyDescent="0.25">
      <c r="D165" s="23"/>
      <c r="E165" s="23"/>
      <c r="F165" s="23"/>
      <c r="G165" s="47"/>
      <c r="H165" s="47"/>
      <c r="I165" s="47"/>
    </row>
    <row r="166" spans="4:9" x14ac:dyDescent="0.25">
      <c r="D166" s="23"/>
      <c r="E166" s="23"/>
      <c r="F166" s="23"/>
      <c r="G166" s="47"/>
      <c r="H166" s="47"/>
      <c r="I166" s="47"/>
    </row>
    <row r="167" spans="4:9" x14ac:dyDescent="0.25">
      <c r="D167" s="23"/>
      <c r="E167" s="23"/>
      <c r="F167" s="23"/>
      <c r="G167" s="47"/>
      <c r="H167" s="47"/>
      <c r="I167" s="47"/>
    </row>
    <row r="168" spans="4:9" x14ac:dyDescent="0.25">
      <c r="D168" s="23"/>
      <c r="E168" s="23"/>
      <c r="F168" s="23"/>
      <c r="G168" s="47"/>
      <c r="H168" s="47"/>
      <c r="I168" s="47"/>
    </row>
    <row r="169" spans="4:9" x14ac:dyDescent="0.25">
      <c r="D169" s="23"/>
      <c r="E169" s="23"/>
      <c r="F169" s="23"/>
      <c r="G169" s="47"/>
      <c r="H169" s="47"/>
      <c r="I169" s="47"/>
    </row>
    <row r="170" spans="4:9" x14ac:dyDescent="0.25">
      <c r="D170" s="23"/>
      <c r="E170" s="23"/>
      <c r="F170" s="23"/>
      <c r="G170" s="47"/>
      <c r="H170" s="47"/>
      <c r="I170" s="47"/>
    </row>
    <row r="171" spans="4:9" x14ac:dyDescent="0.25">
      <c r="D171" s="23"/>
      <c r="E171" s="23"/>
      <c r="F171" s="23"/>
      <c r="G171" s="47"/>
      <c r="H171" s="47"/>
      <c r="I171" s="47"/>
    </row>
    <row r="172" spans="4:9" x14ac:dyDescent="0.25">
      <c r="D172" s="23"/>
      <c r="E172" s="23"/>
      <c r="F172" s="23"/>
      <c r="G172" s="47"/>
      <c r="H172" s="47"/>
      <c r="I172" s="47"/>
    </row>
    <row r="173" spans="4:9" x14ac:dyDescent="0.25">
      <c r="D173" s="23"/>
      <c r="E173" s="23"/>
      <c r="F173" s="23"/>
      <c r="G173" s="47"/>
      <c r="H173" s="47"/>
      <c r="I173" s="47"/>
    </row>
    <row r="174" spans="4:9" x14ac:dyDescent="0.25">
      <c r="D174" s="23"/>
      <c r="E174" s="23"/>
      <c r="F174" s="23"/>
      <c r="G174" s="47"/>
      <c r="H174" s="47"/>
      <c r="I174" s="47"/>
    </row>
    <row r="175" spans="4:9" x14ac:dyDescent="0.25">
      <c r="D175" s="23"/>
      <c r="E175" s="23"/>
      <c r="F175" s="23"/>
      <c r="G175" s="47"/>
      <c r="H175" s="47"/>
      <c r="I175" s="47"/>
    </row>
    <row r="176" spans="4:9" x14ac:dyDescent="0.25">
      <c r="D176" s="23"/>
      <c r="E176" s="23"/>
      <c r="F176" s="23"/>
      <c r="G176" s="47"/>
      <c r="H176" s="47"/>
      <c r="I176" s="47"/>
    </row>
    <row r="177" spans="4:9" x14ac:dyDescent="0.25">
      <c r="D177" s="23"/>
      <c r="E177" s="23"/>
      <c r="F177" s="23"/>
      <c r="G177" s="47"/>
      <c r="H177" s="47"/>
      <c r="I177" s="47"/>
    </row>
    <row r="178" spans="4:9" x14ac:dyDescent="0.25">
      <c r="D178" s="23"/>
      <c r="E178" s="23"/>
      <c r="F178" s="23"/>
      <c r="G178" s="47"/>
      <c r="H178" s="47"/>
      <c r="I178" s="47"/>
    </row>
    <row r="179" spans="4:9" x14ac:dyDescent="0.25">
      <c r="D179" s="23"/>
      <c r="E179" s="23"/>
      <c r="F179" s="23"/>
      <c r="G179" s="47"/>
      <c r="H179" s="47"/>
      <c r="I179" s="47"/>
    </row>
    <row r="180" spans="4:9" x14ac:dyDescent="0.25">
      <c r="D180" s="23"/>
      <c r="E180" s="23"/>
      <c r="F180" s="23"/>
      <c r="G180" s="47"/>
      <c r="H180" s="47"/>
      <c r="I180" s="47"/>
    </row>
    <row r="181" spans="4:9" x14ac:dyDescent="0.25">
      <c r="D181" s="23"/>
      <c r="E181" s="23"/>
      <c r="F181" s="23"/>
      <c r="G181" s="47"/>
      <c r="H181" s="47"/>
      <c r="I181" s="47"/>
    </row>
    <row r="182" spans="4:9" x14ac:dyDescent="0.25">
      <c r="D182" s="23"/>
      <c r="E182" s="23"/>
      <c r="F182" s="23"/>
      <c r="G182" s="47"/>
      <c r="H182" s="47"/>
      <c r="I182" s="47"/>
    </row>
    <row r="183" spans="4:9" x14ac:dyDescent="0.25">
      <c r="D183" s="23"/>
      <c r="E183" s="23"/>
      <c r="F183" s="23"/>
      <c r="G183" s="47"/>
      <c r="H183" s="47"/>
      <c r="I183" s="47"/>
    </row>
    <row r="184" spans="4:9" x14ac:dyDescent="0.25">
      <c r="D184" s="23"/>
      <c r="E184" s="23"/>
      <c r="F184" s="23"/>
      <c r="G184" s="47"/>
      <c r="H184" s="47"/>
      <c r="I184" s="47"/>
    </row>
    <row r="185" spans="4:9" x14ac:dyDescent="0.25">
      <c r="D185" s="23"/>
      <c r="E185" s="23"/>
      <c r="F185" s="23"/>
      <c r="G185" s="47"/>
      <c r="H185" s="47"/>
      <c r="I185" s="47"/>
    </row>
    <row r="186" spans="4:9" x14ac:dyDescent="0.25">
      <c r="D186" s="23"/>
      <c r="E186" s="23"/>
      <c r="F186" s="23"/>
      <c r="G186" s="47"/>
      <c r="H186" s="47"/>
      <c r="I186" s="47"/>
    </row>
    <row r="187" spans="4:9" x14ac:dyDescent="0.25">
      <c r="D187" s="23"/>
      <c r="E187" s="23"/>
      <c r="F187" s="23"/>
      <c r="G187" s="47"/>
      <c r="H187" s="47"/>
      <c r="I187" s="47"/>
    </row>
    <row r="188" spans="4:9" x14ac:dyDescent="0.25">
      <c r="D188" s="23"/>
      <c r="E188" s="23"/>
      <c r="F188" s="23"/>
      <c r="G188" s="47"/>
      <c r="H188" s="47"/>
      <c r="I188" s="47"/>
    </row>
    <row r="189" spans="4:9" x14ac:dyDescent="0.25">
      <c r="D189" s="23"/>
      <c r="E189" s="23"/>
      <c r="F189" s="23"/>
      <c r="G189" s="47"/>
      <c r="H189" s="47"/>
      <c r="I189" s="47"/>
    </row>
    <row r="190" spans="4:9" x14ac:dyDescent="0.25">
      <c r="D190" s="23"/>
      <c r="E190" s="23"/>
      <c r="F190" s="23"/>
      <c r="G190" s="47"/>
      <c r="H190" s="47"/>
      <c r="I190" s="47"/>
    </row>
    <row r="191" spans="4:9" x14ac:dyDescent="0.25">
      <c r="D191" s="23"/>
      <c r="E191" s="23"/>
      <c r="F191" s="23"/>
      <c r="G191" s="47"/>
      <c r="H191" s="47"/>
      <c r="I191" s="47"/>
    </row>
    <row r="192" spans="4:9" x14ac:dyDescent="0.25">
      <c r="D192" s="23"/>
      <c r="E192" s="23"/>
      <c r="F192" s="23"/>
      <c r="G192" s="47"/>
      <c r="H192" s="47"/>
      <c r="I192" s="47"/>
    </row>
    <row r="193" spans="4:9" x14ac:dyDescent="0.25">
      <c r="D193" s="23"/>
      <c r="E193" s="23"/>
      <c r="F193" s="23"/>
      <c r="G193" s="47"/>
      <c r="H193" s="47"/>
      <c r="I193" s="47"/>
    </row>
    <row r="194" spans="4:9" x14ac:dyDescent="0.25">
      <c r="D194" s="23"/>
      <c r="E194" s="23"/>
      <c r="F194" s="23"/>
      <c r="G194" s="47"/>
      <c r="H194" s="47"/>
      <c r="I194" s="47"/>
    </row>
    <row r="195" spans="4:9" x14ac:dyDescent="0.25">
      <c r="D195" s="23"/>
      <c r="E195" s="23"/>
      <c r="F195" s="23"/>
      <c r="G195" s="47"/>
      <c r="H195" s="47"/>
      <c r="I195" s="47"/>
    </row>
    <row r="196" spans="4:9" x14ac:dyDescent="0.25">
      <c r="D196" s="23"/>
      <c r="E196" s="23"/>
      <c r="F196" s="23"/>
      <c r="G196" s="47"/>
      <c r="H196" s="47"/>
      <c r="I196" s="47"/>
    </row>
    <row r="197" spans="4:9" x14ac:dyDescent="0.25">
      <c r="D197" s="23"/>
      <c r="E197" s="23"/>
      <c r="F197" s="23"/>
      <c r="G197" s="47"/>
      <c r="H197" s="47"/>
      <c r="I197" s="47"/>
    </row>
    <row r="198" spans="4:9" x14ac:dyDescent="0.25">
      <c r="D198" s="23"/>
      <c r="E198" s="23"/>
      <c r="F198" s="23"/>
      <c r="G198" s="47"/>
      <c r="H198" s="47"/>
      <c r="I198" s="47"/>
    </row>
    <row r="199" spans="4:9" x14ac:dyDescent="0.25">
      <c r="G199" s="47"/>
      <c r="H199" s="47"/>
      <c r="I199" s="47"/>
    </row>
    <row r="200" spans="4:9" x14ac:dyDescent="0.25">
      <c r="G200" s="47"/>
      <c r="H200" s="47"/>
      <c r="I200" s="47"/>
    </row>
    <row r="201" spans="4:9" x14ac:dyDescent="0.25">
      <c r="G201" s="47"/>
      <c r="H201" s="47"/>
      <c r="I201" s="47"/>
    </row>
    <row r="202" spans="4:9" x14ac:dyDescent="0.25">
      <c r="G202" s="47"/>
      <c r="H202" s="47"/>
      <c r="I202" s="47"/>
    </row>
    <row r="203" spans="4:9" x14ac:dyDescent="0.25">
      <c r="G203" s="47"/>
      <c r="H203" s="47"/>
      <c r="I203" s="47"/>
    </row>
    <row r="204" spans="4:9" x14ac:dyDescent="0.25">
      <c r="G204" s="47"/>
      <c r="H204" s="47"/>
      <c r="I204" s="47"/>
    </row>
    <row r="205" spans="4:9" x14ac:dyDescent="0.25">
      <c r="G205" s="47"/>
      <c r="H205" s="47"/>
      <c r="I205" s="47"/>
    </row>
    <row r="206" spans="4:9" x14ac:dyDescent="0.25">
      <c r="G206" s="47"/>
      <c r="H206" s="47"/>
      <c r="I206" s="47"/>
    </row>
    <row r="207" spans="4:9" x14ac:dyDescent="0.25">
      <c r="G207" s="47"/>
      <c r="H207" s="47"/>
      <c r="I207" s="47"/>
    </row>
    <row r="208" spans="4:9" x14ac:dyDescent="0.25">
      <c r="G208" s="47"/>
      <c r="H208" s="47"/>
      <c r="I208" s="47"/>
    </row>
    <row r="209" spans="7:9" x14ac:dyDescent="0.25">
      <c r="G209" s="47"/>
      <c r="H209" s="47"/>
      <c r="I209" s="47"/>
    </row>
    <row r="210" spans="7:9" x14ac:dyDescent="0.25">
      <c r="G210" s="47"/>
      <c r="H210" s="47"/>
      <c r="I210" s="47"/>
    </row>
    <row r="211" spans="7:9" x14ac:dyDescent="0.25">
      <c r="G211" s="47"/>
      <c r="H211" s="47"/>
      <c r="I211" s="47"/>
    </row>
    <row r="212" spans="7:9" x14ac:dyDescent="0.25">
      <c r="G212" s="47"/>
      <c r="H212" s="47"/>
      <c r="I212" s="47"/>
    </row>
    <row r="213" spans="7:9" x14ac:dyDescent="0.25">
      <c r="G213" s="47"/>
      <c r="H213" s="47"/>
      <c r="I213" s="47"/>
    </row>
    <row r="214" spans="7:9" x14ac:dyDescent="0.25">
      <c r="G214" s="47"/>
      <c r="H214" s="47"/>
      <c r="I214" s="47"/>
    </row>
    <row r="215" spans="7:9" x14ac:dyDescent="0.25">
      <c r="G215" s="47"/>
      <c r="H215" s="47"/>
      <c r="I215" s="47"/>
    </row>
    <row r="216" spans="7:9" x14ac:dyDescent="0.25">
      <c r="G216" s="47"/>
      <c r="H216" s="47"/>
      <c r="I216" s="47"/>
    </row>
    <row r="217" spans="7:9" x14ac:dyDescent="0.25">
      <c r="G217" s="47"/>
      <c r="H217" s="47"/>
      <c r="I217" s="47"/>
    </row>
    <row r="218" spans="7:9" x14ac:dyDescent="0.25">
      <c r="G218" s="47"/>
      <c r="H218" s="47"/>
      <c r="I218" s="47"/>
    </row>
    <row r="219" spans="7:9" x14ac:dyDescent="0.25">
      <c r="G219" s="47"/>
      <c r="H219" s="47"/>
      <c r="I219" s="47"/>
    </row>
    <row r="220" spans="7:9" x14ac:dyDescent="0.25">
      <c r="G220" s="47"/>
      <c r="H220" s="47"/>
      <c r="I220" s="47"/>
    </row>
    <row r="221" spans="7:9" x14ac:dyDescent="0.25">
      <c r="G221" s="47"/>
      <c r="H221" s="47"/>
      <c r="I221" s="47"/>
    </row>
    <row r="222" spans="7:9" x14ac:dyDescent="0.25">
      <c r="G222" s="47"/>
      <c r="H222" s="47"/>
      <c r="I222" s="47"/>
    </row>
    <row r="223" spans="7:9" x14ac:dyDescent="0.25">
      <c r="G223" s="47"/>
      <c r="H223" s="47"/>
      <c r="I223" s="47"/>
    </row>
    <row r="224" spans="7:9" x14ac:dyDescent="0.25">
      <c r="G224" s="47"/>
      <c r="H224" s="47"/>
      <c r="I224" s="47"/>
    </row>
    <row r="225" spans="7:9" x14ac:dyDescent="0.25">
      <c r="G225" s="47"/>
      <c r="H225" s="47"/>
      <c r="I225" s="47"/>
    </row>
    <row r="226" spans="7:9" x14ac:dyDescent="0.25">
      <c r="G226" s="47"/>
      <c r="H226" s="47"/>
      <c r="I226" s="47"/>
    </row>
    <row r="227" spans="7:9" x14ac:dyDescent="0.25">
      <c r="G227" s="47"/>
      <c r="H227" s="47"/>
      <c r="I227" s="47"/>
    </row>
    <row r="228" spans="7:9" x14ac:dyDescent="0.25">
      <c r="G228" s="47"/>
      <c r="H228" s="47"/>
      <c r="I228" s="47"/>
    </row>
    <row r="229" spans="7:9" x14ac:dyDescent="0.25">
      <c r="G229" s="47"/>
      <c r="H229" s="47"/>
      <c r="I229" s="47"/>
    </row>
    <row r="230" spans="7:9" x14ac:dyDescent="0.25">
      <c r="G230" s="47"/>
      <c r="H230" s="47"/>
      <c r="I230" s="47"/>
    </row>
    <row r="231" spans="7:9" x14ac:dyDescent="0.25">
      <c r="G231" s="47"/>
      <c r="H231" s="47"/>
      <c r="I231" s="47"/>
    </row>
    <row r="232" spans="7:9" x14ac:dyDescent="0.25">
      <c r="G232" s="47"/>
      <c r="H232" s="47"/>
      <c r="I232" s="47"/>
    </row>
    <row r="233" spans="7:9" x14ac:dyDescent="0.25">
      <c r="G233" s="47"/>
      <c r="H233" s="47"/>
      <c r="I233" s="47"/>
    </row>
    <row r="234" spans="7:9" x14ac:dyDescent="0.25">
      <c r="G234" s="47"/>
      <c r="H234" s="47"/>
      <c r="I234" s="47"/>
    </row>
    <row r="235" spans="7:9" x14ac:dyDescent="0.25">
      <c r="G235" s="47"/>
      <c r="H235" s="47"/>
      <c r="I235" s="47"/>
    </row>
    <row r="236" spans="7:9" x14ac:dyDescent="0.25">
      <c r="G236" s="47"/>
      <c r="H236" s="47"/>
      <c r="I236" s="47"/>
    </row>
    <row r="237" spans="7:9" x14ac:dyDescent="0.25">
      <c r="G237" s="47"/>
      <c r="H237" s="47"/>
      <c r="I237" s="47"/>
    </row>
    <row r="238" spans="7:9" x14ac:dyDescent="0.25">
      <c r="G238" s="47"/>
      <c r="H238" s="47"/>
      <c r="I238" s="47"/>
    </row>
    <row r="239" spans="7:9" x14ac:dyDescent="0.25">
      <c r="G239" s="47"/>
      <c r="H239" s="47"/>
      <c r="I239" s="47"/>
    </row>
    <row r="240" spans="7:9" x14ac:dyDescent="0.25">
      <c r="G240" s="47"/>
      <c r="H240" s="47"/>
      <c r="I240" s="47"/>
    </row>
    <row r="241" spans="7:9" x14ac:dyDescent="0.25">
      <c r="G241" s="47"/>
      <c r="H241" s="47"/>
      <c r="I241" s="47"/>
    </row>
    <row r="242" spans="7:9" x14ac:dyDescent="0.25">
      <c r="G242" s="47"/>
      <c r="H242" s="47"/>
      <c r="I242" s="47"/>
    </row>
    <row r="243" spans="7:9" x14ac:dyDescent="0.25">
      <c r="G243" s="47"/>
      <c r="H243" s="47"/>
      <c r="I243" s="47"/>
    </row>
    <row r="244" spans="7:9" x14ac:dyDescent="0.25">
      <c r="G244" s="47"/>
      <c r="H244" s="47"/>
      <c r="I244" s="47"/>
    </row>
    <row r="245" spans="7:9" x14ac:dyDescent="0.25">
      <c r="G245" s="47"/>
      <c r="H245" s="47"/>
      <c r="I245" s="47"/>
    </row>
    <row r="246" spans="7:9" x14ac:dyDescent="0.25">
      <c r="G246" s="47"/>
      <c r="H246" s="47"/>
      <c r="I246" s="47"/>
    </row>
    <row r="247" spans="7:9" x14ac:dyDescent="0.25">
      <c r="G247" s="47"/>
      <c r="H247" s="47"/>
      <c r="I247" s="47"/>
    </row>
    <row r="248" spans="7:9" x14ac:dyDescent="0.25">
      <c r="G248" s="47"/>
      <c r="H248" s="47"/>
      <c r="I248" s="47"/>
    </row>
    <row r="249" spans="7:9" x14ac:dyDescent="0.25">
      <c r="G249" s="47"/>
      <c r="H249" s="47"/>
      <c r="I249" s="47"/>
    </row>
    <row r="250" spans="7:9" x14ac:dyDescent="0.25">
      <c r="G250" s="47"/>
      <c r="H250" s="47"/>
      <c r="I250" s="47"/>
    </row>
    <row r="251" spans="7:9" x14ac:dyDescent="0.25">
      <c r="G251" s="47"/>
      <c r="H251" s="47"/>
      <c r="I251" s="47"/>
    </row>
    <row r="252" spans="7:9" x14ac:dyDescent="0.25">
      <c r="G252" s="47"/>
      <c r="H252" s="47"/>
      <c r="I252" s="47"/>
    </row>
    <row r="253" spans="7:9" x14ac:dyDescent="0.25">
      <c r="G253" s="47"/>
      <c r="H253" s="47"/>
      <c r="I253" s="47"/>
    </row>
    <row r="254" spans="7:9" x14ac:dyDescent="0.25">
      <c r="G254" s="47"/>
      <c r="H254" s="47"/>
      <c r="I254" s="47"/>
    </row>
    <row r="255" spans="7:9" x14ac:dyDescent="0.25">
      <c r="G255" s="47"/>
      <c r="H255" s="47"/>
      <c r="I255" s="47"/>
    </row>
    <row r="256" spans="7:9" x14ac:dyDescent="0.25">
      <c r="G256" s="47"/>
      <c r="H256" s="47"/>
      <c r="I256" s="47"/>
    </row>
    <row r="257" spans="7:9" x14ac:dyDescent="0.25">
      <c r="G257" s="47"/>
      <c r="H257" s="47"/>
      <c r="I257" s="47"/>
    </row>
    <row r="258" spans="7:9" x14ac:dyDescent="0.25">
      <c r="G258" s="47"/>
      <c r="H258" s="47"/>
      <c r="I258" s="47"/>
    </row>
    <row r="259" spans="7:9" x14ac:dyDescent="0.25">
      <c r="G259" s="47"/>
      <c r="H259" s="47"/>
      <c r="I259" s="47"/>
    </row>
    <row r="260" spans="7:9" x14ac:dyDescent="0.25">
      <c r="G260" s="47"/>
      <c r="H260" s="47"/>
      <c r="I260" s="47"/>
    </row>
    <row r="261" spans="7:9" x14ac:dyDescent="0.25">
      <c r="G261" s="47"/>
      <c r="H261" s="47"/>
      <c r="I261" s="47"/>
    </row>
    <row r="262" spans="7:9" x14ac:dyDescent="0.25">
      <c r="G262" s="47"/>
      <c r="H262" s="47"/>
      <c r="I262" s="47"/>
    </row>
    <row r="263" spans="7:9" x14ac:dyDescent="0.25">
      <c r="G263" s="47"/>
      <c r="H263" s="47"/>
      <c r="I263" s="47"/>
    </row>
    <row r="264" spans="7:9" x14ac:dyDescent="0.25">
      <c r="G264" s="47"/>
      <c r="H264" s="47"/>
      <c r="I264" s="47"/>
    </row>
    <row r="265" spans="7:9" x14ac:dyDescent="0.25">
      <c r="G265" s="47"/>
      <c r="H265" s="47"/>
      <c r="I265" s="47"/>
    </row>
    <row r="266" spans="7:9" x14ac:dyDescent="0.25">
      <c r="G266" s="47"/>
      <c r="H266" s="47"/>
      <c r="I266" s="47"/>
    </row>
    <row r="267" spans="7:9" x14ac:dyDescent="0.25">
      <c r="G267" s="47"/>
      <c r="H267" s="47"/>
      <c r="I267" s="47"/>
    </row>
    <row r="268" spans="7:9" x14ac:dyDescent="0.25">
      <c r="G268" s="47"/>
      <c r="H268" s="47"/>
      <c r="I268" s="47"/>
    </row>
    <row r="269" spans="7:9" x14ac:dyDescent="0.25">
      <c r="G269" s="47"/>
      <c r="H269" s="47"/>
      <c r="I269" s="47"/>
    </row>
    <row r="270" spans="7:9" x14ac:dyDescent="0.25">
      <c r="G270" s="47"/>
      <c r="H270" s="47"/>
      <c r="I270" s="47"/>
    </row>
    <row r="271" spans="7:9" x14ac:dyDescent="0.25">
      <c r="G271" s="47"/>
      <c r="H271" s="47"/>
      <c r="I271" s="47"/>
    </row>
    <row r="272" spans="7:9" x14ac:dyDescent="0.25">
      <c r="G272" s="47"/>
      <c r="H272" s="47"/>
      <c r="I272" s="47"/>
    </row>
    <row r="273" spans="7:9" x14ac:dyDescent="0.25">
      <c r="G273" s="47"/>
      <c r="H273" s="47"/>
      <c r="I273" s="47"/>
    </row>
    <row r="274" spans="7:9" x14ac:dyDescent="0.25">
      <c r="G274" s="47"/>
      <c r="H274" s="47"/>
      <c r="I274" s="47"/>
    </row>
    <row r="275" spans="7:9" x14ac:dyDescent="0.25">
      <c r="G275" s="47"/>
      <c r="H275" s="47"/>
      <c r="I275" s="47"/>
    </row>
    <row r="276" spans="7:9" x14ac:dyDescent="0.25">
      <c r="G276" s="47"/>
      <c r="H276" s="47"/>
      <c r="I276" s="47"/>
    </row>
    <row r="277" spans="7:9" x14ac:dyDescent="0.25">
      <c r="G277" s="47"/>
      <c r="H277" s="47"/>
      <c r="I277" s="47"/>
    </row>
    <row r="278" spans="7:9" x14ac:dyDescent="0.25">
      <c r="G278" s="47"/>
      <c r="H278" s="47"/>
      <c r="I278" s="47"/>
    </row>
    <row r="279" spans="7:9" x14ac:dyDescent="0.25">
      <c r="G279" s="47"/>
      <c r="H279" s="47"/>
      <c r="I279" s="47"/>
    </row>
    <row r="280" spans="7:9" x14ac:dyDescent="0.25">
      <c r="G280" s="47"/>
      <c r="H280" s="47"/>
      <c r="I280" s="47"/>
    </row>
    <row r="281" spans="7:9" x14ac:dyDescent="0.25">
      <c r="G281" s="47"/>
      <c r="H281" s="47"/>
      <c r="I281" s="47"/>
    </row>
    <row r="282" spans="7:9" x14ac:dyDescent="0.25">
      <c r="G282" s="47"/>
      <c r="H282" s="47"/>
      <c r="I282" s="47"/>
    </row>
    <row r="283" spans="7:9" x14ac:dyDescent="0.25">
      <c r="G283" s="47"/>
      <c r="H283" s="47"/>
      <c r="I283" s="47"/>
    </row>
    <row r="284" spans="7:9" x14ac:dyDescent="0.25">
      <c r="G284" s="47"/>
      <c r="H284" s="47"/>
      <c r="I284" s="47"/>
    </row>
    <row r="285" spans="7:9" x14ac:dyDescent="0.25">
      <c r="G285" s="47"/>
      <c r="H285" s="47"/>
      <c r="I285" s="47"/>
    </row>
    <row r="286" spans="7:9" x14ac:dyDescent="0.25">
      <c r="G286" s="47"/>
      <c r="H286" s="47"/>
      <c r="I286" s="47"/>
    </row>
    <row r="287" spans="7:9" x14ac:dyDescent="0.25">
      <c r="G287" s="47"/>
      <c r="H287" s="47"/>
      <c r="I287" s="47"/>
    </row>
    <row r="288" spans="7:9" x14ac:dyDescent="0.25">
      <c r="G288" s="47"/>
      <c r="H288" s="47"/>
      <c r="I288" s="47"/>
    </row>
    <row r="289" spans="7:9" x14ac:dyDescent="0.25">
      <c r="G289" s="47"/>
      <c r="H289" s="47"/>
      <c r="I289" s="47"/>
    </row>
    <row r="290" spans="7:9" x14ac:dyDescent="0.25">
      <c r="G290" s="47"/>
      <c r="H290" s="47"/>
      <c r="I290" s="47"/>
    </row>
    <row r="291" spans="7:9" x14ac:dyDescent="0.25">
      <c r="G291" s="47"/>
      <c r="H291" s="47"/>
      <c r="I291" s="47"/>
    </row>
    <row r="292" spans="7:9" x14ac:dyDescent="0.25">
      <c r="G292" s="47"/>
      <c r="H292" s="47"/>
      <c r="I292" s="47"/>
    </row>
    <row r="293" spans="7:9" x14ac:dyDescent="0.25">
      <c r="G293" s="47"/>
      <c r="H293" s="47"/>
      <c r="I293" s="47"/>
    </row>
    <row r="294" spans="7:9" x14ac:dyDescent="0.25">
      <c r="G294" s="47"/>
      <c r="H294" s="47"/>
      <c r="I294" s="47"/>
    </row>
    <row r="295" spans="7:9" x14ac:dyDescent="0.25">
      <c r="G295" s="47"/>
      <c r="H295" s="47"/>
      <c r="I295" s="47"/>
    </row>
    <row r="296" spans="7:9" x14ac:dyDescent="0.25">
      <c r="G296" s="47"/>
      <c r="H296" s="47"/>
      <c r="I296" s="47"/>
    </row>
    <row r="297" spans="7:9" x14ac:dyDescent="0.25">
      <c r="G297" s="47"/>
      <c r="H297" s="47"/>
      <c r="I297" s="47"/>
    </row>
    <row r="298" spans="7:9" x14ac:dyDescent="0.25">
      <c r="G298" s="47"/>
      <c r="H298" s="47"/>
      <c r="I298" s="47"/>
    </row>
    <row r="299" spans="7:9" x14ac:dyDescent="0.25">
      <c r="G299" s="47"/>
      <c r="H299" s="47"/>
      <c r="I299" s="47"/>
    </row>
    <row r="300" spans="7:9" x14ac:dyDescent="0.25">
      <c r="G300" s="47"/>
      <c r="H300" s="47"/>
      <c r="I300" s="47"/>
    </row>
    <row r="301" spans="7:9" x14ac:dyDescent="0.25">
      <c r="G301" s="47"/>
      <c r="H301" s="47"/>
      <c r="I301" s="47"/>
    </row>
    <row r="302" spans="7:9" x14ac:dyDescent="0.25">
      <c r="G302" s="47"/>
      <c r="H302" s="47"/>
      <c r="I302" s="47"/>
    </row>
    <row r="303" spans="7:9" x14ac:dyDescent="0.25">
      <c r="G303" s="47"/>
      <c r="H303" s="47"/>
      <c r="I303" s="47"/>
    </row>
    <row r="304" spans="7:9" x14ac:dyDescent="0.25">
      <c r="G304" s="47"/>
      <c r="H304" s="47"/>
      <c r="I304" s="47"/>
    </row>
    <row r="305" spans="7:9" x14ac:dyDescent="0.25">
      <c r="G305" s="47"/>
      <c r="H305" s="47"/>
      <c r="I305" s="47"/>
    </row>
    <row r="306" spans="7:9" x14ac:dyDescent="0.25">
      <c r="G306" s="47"/>
      <c r="H306" s="47"/>
      <c r="I306" s="47"/>
    </row>
    <row r="307" spans="7:9" x14ac:dyDescent="0.25">
      <c r="G307" s="47"/>
      <c r="H307" s="47"/>
      <c r="I307" s="47"/>
    </row>
    <row r="308" spans="7:9" x14ac:dyDescent="0.25">
      <c r="G308" s="47"/>
      <c r="H308" s="47"/>
      <c r="I308" s="47"/>
    </row>
    <row r="309" spans="7:9" x14ac:dyDescent="0.25">
      <c r="G309" s="47"/>
      <c r="H309" s="47"/>
      <c r="I309" s="47"/>
    </row>
    <row r="310" spans="7:9" x14ac:dyDescent="0.25">
      <c r="G310" s="47"/>
      <c r="H310" s="47"/>
      <c r="I310" s="47"/>
    </row>
    <row r="311" spans="7:9" x14ac:dyDescent="0.25">
      <c r="G311" s="47"/>
      <c r="H311" s="47"/>
      <c r="I311" s="47"/>
    </row>
    <row r="312" spans="7:9" x14ac:dyDescent="0.25">
      <c r="G312" s="47"/>
      <c r="H312" s="47"/>
      <c r="I312" s="47"/>
    </row>
    <row r="313" spans="7:9" x14ac:dyDescent="0.25">
      <c r="G313" s="47"/>
      <c r="H313" s="47"/>
      <c r="I313" s="47"/>
    </row>
    <row r="314" spans="7:9" x14ac:dyDescent="0.25">
      <c r="G314" s="47"/>
      <c r="H314" s="47"/>
      <c r="I314" s="47"/>
    </row>
    <row r="315" spans="7:9" x14ac:dyDescent="0.25">
      <c r="G315" s="47"/>
      <c r="H315" s="47"/>
      <c r="I315" s="47"/>
    </row>
    <row r="316" spans="7:9" x14ac:dyDescent="0.25">
      <c r="G316" s="47"/>
      <c r="H316" s="47"/>
      <c r="I316" s="47"/>
    </row>
    <row r="317" spans="7:9" x14ac:dyDescent="0.25">
      <c r="G317" s="47"/>
      <c r="H317" s="47"/>
      <c r="I317" s="47"/>
    </row>
    <row r="318" spans="7:9" x14ac:dyDescent="0.25">
      <c r="G318" s="47"/>
      <c r="H318" s="47"/>
      <c r="I318" s="47"/>
    </row>
    <row r="319" spans="7:9" x14ac:dyDescent="0.25">
      <c r="G319" s="47"/>
      <c r="H319" s="47"/>
      <c r="I319" s="47"/>
    </row>
    <row r="320" spans="7:9" x14ac:dyDescent="0.25">
      <c r="G320" s="47"/>
      <c r="H320" s="47"/>
      <c r="I320" s="47"/>
    </row>
    <row r="321" spans="7:9" x14ac:dyDescent="0.25">
      <c r="G321" s="47"/>
      <c r="H321" s="47"/>
      <c r="I321" s="47"/>
    </row>
    <row r="322" spans="7:9" x14ac:dyDescent="0.25">
      <c r="G322" s="47"/>
      <c r="H322" s="47"/>
      <c r="I322" s="47"/>
    </row>
    <row r="323" spans="7:9" x14ac:dyDescent="0.25">
      <c r="G323" s="47"/>
      <c r="H323" s="47"/>
      <c r="I323" s="47"/>
    </row>
    <row r="324" spans="7:9" x14ac:dyDescent="0.25">
      <c r="G324" s="47"/>
      <c r="H324" s="47"/>
      <c r="I324" s="47"/>
    </row>
    <row r="325" spans="7:9" x14ac:dyDescent="0.25">
      <c r="G325" s="47"/>
      <c r="H325" s="47"/>
      <c r="I325" s="47"/>
    </row>
    <row r="326" spans="7:9" x14ac:dyDescent="0.25">
      <c r="G326" s="47"/>
      <c r="H326" s="47"/>
      <c r="I326" s="47"/>
    </row>
    <row r="327" spans="7:9" x14ac:dyDescent="0.25">
      <c r="G327" s="47"/>
      <c r="H327" s="47"/>
      <c r="I327" s="47"/>
    </row>
    <row r="328" spans="7:9" x14ac:dyDescent="0.25">
      <c r="G328" s="47"/>
      <c r="H328" s="47"/>
      <c r="I328" s="47"/>
    </row>
    <row r="329" spans="7:9" x14ac:dyDescent="0.25">
      <c r="G329" s="47"/>
      <c r="H329" s="47"/>
      <c r="I329" s="47"/>
    </row>
    <row r="330" spans="7:9" x14ac:dyDescent="0.25">
      <c r="G330" s="47"/>
      <c r="H330" s="47"/>
      <c r="I330" s="47"/>
    </row>
    <row r="331" spans="7:9" x14ac:dyDescent="0.25">
      <c r="G331" s="47"/>
      <c r="H331" s="47"/>
      <c r="I331" s="47"/>
    </row>
    <row r="332" spans="7:9" x14ac:dyDescent="0.25">
      <c r="G332" s="47"/>
      <c r="H332" s="47"/>
      <c r="I332" s="47"/>
    </row>
    <row r="333" spans="7:9" x14ac:dyDescent="0.25">
      <c r="G333" s="47"/>
      <c r="H333" s="47"/>
      <c r="I333" s="47"/>
    </row>
    <row r="334" spans="7:9" x14ac:dyDescent="0.25">
      <c r="G334" s="47"/>
      <c r="H334" s="47"/>
      <c r="I334" s="47"/>
    </row>
    <row r="335" spans="7:9" x14ac:dyDescent="0.25">
      <c r="G335" s="47"/>
      <c r="H335" s="47"/>
      <c r="I335" s="47"/>
    </row>
    <row r="336" spans="7:9" x14ac:dyDescent="0.25">
      <c r="G336" s="47"/>
      <c r="H336" s="47"/>
      <c r="I336" s="47"/>
    </row>
    <row r="337" spans="7:9" x14ac:dyDescent="0.25">
      <c r="G337" s="47"/>
      <c r="H337" s="47"/>
      <c r="I337" s="47"/>
    </row>
    <row r="338" spans="7:9" x14ac:dyDescent="0.25">
      <c r="G338" s="47"/>
      <c r="H338" s="47"/>
      <c r="I338" s="47"/>
    </row>
    <row r="339" spans="7:9" x14ac:dyDescent="0.25">
      <c r="G339" s="47"/>
      <c r="H339" s="47"/>
      <c r="I339" s="47"/>
    </row>
    <row r="340" spans="7:9" x14ac:dyDescent="0.25">
      <c r="G340" s="47"/>
      <c r="H340" s="47"/>
      <c r="I340" s="47"/>
    </row>
    <row r="341" spans="7:9" x14ac:dyDescent="0.25">
      <c r="G341" s="47"/>
      <c r="H341" s="47"/>
      <c r="I341" s="47"/>
    </row>
    <row r="342" spans="7:9" x14ac:dyDescent="0.25">
      <c r="G342" s="47"/>
      <c r="H342" s="47"/>
      <c r="I342" s="47"/>
    </row>
    <row r="343" spans="7:9" x14ac:dyDescent="0.25">
      <c r="G343" s="47"/>
      <c r="H343" s="47"/>
      <c r="I343" s="47"/>
    </row>
    <row r="344" spans="7:9" x14ac:dyDescent="0.25">
      <c r="G344" s="47"/>
      <c r="H344" s="47"/>
      <c r="I344" s="47"/>
    </row>
    <row r="345" spans="7:9" x14ac:dyDescent="0.25">
      <c r="G345" s="47"/>
      <c r="H345" s="47"/>
      <c r="I345" s="47"/>
    </row>
    <row r="346" spans="7:9" x14ac:dyDescent="0.25">
      <c r="G346" s="47"/>
      <c r="H346" s="47"/>
      <c r="I346" s="47"/>
    </row>
    <row r="347" spans="7:9" x14ac:dyDescent="0.25">
      <c r="G347" s="47"/>
      <c r="H347" s="47"/>
      <c r="I347" s="47"/>
    </row>
    <row r="348" spans="7:9" x14ac:dyDescent="0.25">
      <c r="G348" s="47"/>
      <c r="H348" s="47"/>
      <c r="I348" s="47"/>
    </row>
    <row r="349" spans="7:9" x14ac:dyDescent="0.25">
      <c r="G349" s="47"/>
      <c r="H349" s="47"/>
      <c r="I349" s="47"/>
    </row>
    <row r="350" spans="7:9" x14ac:dyDescent="0.25">
      <c r="G350" s="47"/>
      <c r="H350" s="47"/>
      <c r="I350" s="47"/>
    </row>
    <row r="351" spans="7:9" x14ac:dyDescent="0.25">
      <c r="G351" s="47"/>
      <c r="H351" s="47"/>
      <c r="I351" s="47"/>
    </row>
    <row r="352" spans="7:9" x14ac:dyDescent="0.25">
      <c r="G352" s="47"/>
      <c r="H352" s="47"/>
      <c r="I352" s="47"/>
    </row>
    <row r="353" spans="7:9" x14ac:dyDescent="0.25">
      <c r="G353" s="47"/>
      <c r="H353" s="47"/>
      <c r="I353" s="47"/>
    </row>
    <row r="354" spans="7:9" x14ac:dyDescent="0.25">
      <c r="G354" s="47"/>
      <c r="H354" s="47"/>
      <c r="I354" s="47"/>
    </row>
    <row r="355" spans="7:9" x14ac:dyDescent="0.25">
      <c r="G355" s="47"/>
      <c r="H355" s="47"/>
      <c r="I355" s="47"/>
    </row>
    <row r="356" spans="7:9" x14ac:dyDescent="0.25">
      <c r="G356" s="47"/>
      <c r="H356" s="47"/>
      <c r="I356" s="47"/>
    </row>
    <row r="357" spans="7:9" x14ac:dyDescent="0.25">
      <c r="G357" s="47"/>
      <c r="H357" s="47"/>
      <c r="I357" s="47"/>
    </row>
    <row r="358" spans="7:9" x14ac:dyDescent="0.25">
      <c r="G358" s="47"/>
      <c r="H358" s="47"/>
      <c r="I358" s="47"/>
    </row>
    <row r="359" spans="7:9" x14ac:dyDescent="0.25">
      <c r="G359" s="47"/>
      <c r="H359" s="47"/>
      <c r="I359" s="47"/>
    </row>
    <row r="360" spans="7:9" x14ac:dyDescent="0.25">
      <c r="G360" s="47"/>
      <c r="H360" s="47"/>
      <c r="I360" s="47"/>
    </row>
    <row r="361" spans="7:9" x14ac:dyDescent="0.25">
      <c r="G361" s="47"/>
      <c r="H361" s="47"/>
      <c r="I361" s="47"/>
    </row>
    <row r="362" spans="7:9" x14ac:dyDescent="0.25">
      <c r="G362" s="47"/>
      <c r="H362" s="47"/>
      <c r="I362" s="47"/>
    </row>
  </sheetData>
  <sheetProtection sheet="1" objects="1" scenarios="1"/>
  <mergeCells count="3">
    <mergeCell ref="E12:H12"/>
    <mergeCell ref="E13:H13"/>
    <mergeCell ref="E11:H11"/>
  </mergeCells>
  <conditionalFormatting sqref="C21:I373">
    <cfRule type="expression" dxfId="57" priority="1">
      <formula>$C21&lt;&gt;""</formula>
    </cfRule>
  </conditionalFormatting>
  <pageMargins left="0.7" right="0.7" top="0.75" bottom="0.75" header="0.3" footer="0.3"/>
  <pageSetup paperSize="9" scale="92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penForm_Z_leftDaysOfVacationForSections">
                <anchor moveWithCells="1" sizeWithCells="1">
                  <from>
                    <xdr:col>10</xdr:col>
                    <xdr:colOff>133350</xdr:colOff>
                    <xdr:row>8</xdr:row>
                    <xdr:rowOff>76200</xdr:rowOff>
                  </from>
                  <to>
                    <xdr:col>12</xdr:col>
                    <xdr:colOff>152400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exportAsPDF_Z_leftDaysOfVacationForSections">
                <anchor moveWithCells="1" sizeWithCells="1">
                  <from>
                    <xdr:col>10</xdr:col>
                    <xdr:colOff>152400</xdr:colOff>
                    <xdr:row>11</xdr:row>
                    <xdr:rowOff>133350</xdr:rowOff>
                  </from>
                  <to>
                    <xdr:col>12</xdr:col>
                    <xdr:colOff>152400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infoAbout_Z_leftDaysOfVacationForSections">
                <anchor moveWithCells="1">
                  <from>
                    <xdr:col>7</xdr:col>
                    <xdr:colOff>552450</xdr:colOff>
                    <xdr:row>3</xdr:row>
                    <xdr:rowOff>190500</xdr:rowOff>
                  </from>
                  <to>
                    <xdr:col>8</xdr:col>
                    <xdr:colOff>609600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Open_Z_leftDaysOfVacationForSections_doc">
                <anchor moveWithCells="1">
                  <from>
                    <xdr:col>9</xdr:col>
                    <xdr:colOff>85725</xdr:colOff>
                    <xdr:row>3</xdr:row>
                    <xdr:rowOff>190500</xdr:rowOff>
                  </from>
                  <to>
                    <xdr:col>10</xdr:col>
                    <xdr:colOff>409575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47A8D-9875-4D17-9F8D-A161DCD45E66}">
  <sheetPr codeName="Arkusz18">
    <tabColor theme="9"/>
  </sheetPr>
  <dimension ref="A1:X262"/>
  <sheetViews>
    <sheetView showGridLines="0" zoomScale="90" zoomScaleNormal="90" workbookViewId="0">
      <selection activeCell="G41" sqref="G41"/>
    </sheetView>
  </sheetViews>
  <sheetFormatPr defaultColWidth="0" defaultRowHeight="15" x14ac:dyDescent="0.25"/>
  <cols>
    <col min="1" max="2" width="9.140625" customWidth="1"/>
    <col min="3" max="3" width="5.7109375" customWidth="1"/>
    <col min="4" max="4" width="38.28515625" style="23" customWidth="1"/>
    <col min="5" max="5" width="12" style="23" customWidth="1"/>
    <col min="6" max="6" width="31.7109375" style="23" customWidth="1"/>
    <col min="7" max="8" width="15.5703125" customWidth="1"/>
    <col min="9" max="9" width="12.140625" customWidth="1"/>
    <col min="10" max="10" width="2.85546875" customWidth="1"/>
    <col min="11" max="11" width="9.140625" customWidth="1"/>
    <col min="12" max="12" width="41.42578125" customWidth="1"/>
    <col min="13" max="13" width="9.140625" customWidth="1"/>
    <col min="14" max="14" width="9.28515625" customWidth="1"/>
    <col min="15" max="15" width="16.5703125" customWidth="1"/>
    <col min="16" max="16" width="16.5703125" hidden="1" customWidth="1"/>
    <col min="17" max="18" width="9.140625" hidden="1" customWidth="1"/>
    <col min="19" max="24" width="0" hidden="1" customWidth="1"/>
    <col min="25" max="16384" width="9.140625" hidden="1"/>
  </cols>
  <sheetData>
    <row r="1" spans="1:24" x14ac:dyDescent="0.25">
      <c r="A1" s="1"/>
      <c r="B1" s="1"/>
      <c r="C1" s="1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</row>
    <row r="2" spans="1:24" ht="26.25" x14ac:dyDescent="0.4">
      <c r="A2" s="1"/>
      <c r="B2" s="1"/>
      <c r="C2" s="1"/>
      <c r="D2" s="3" t="s">
        <v>190</v>
      </c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</row>
    <row r="3" spans="1:24" ht="18.75" x14ac:dyDescent="0.3">
      <c r="A3" s="1"/>
      <c r="B3" s="1"/>
      <c r="C3" s="1"/>
      <c r="E3" s="75" t="s">
        <v>96</v>
      </c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</row>
    <row r="4" spans="1:24" ht="23.25" x14ac:dyDescent="0.35">
      <c r="A4" s="1"/>
      <c r="B4" s="1"/>
      <c r="C4" s="1"/>
      <c r="D4" s="49"/>
      <c r="E4" s="19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</row>
    <row r="5" spans="1:24" x14ac:dyDescent="0.25">
      <c r="A5" s="1"/>
      <c r="B5" s="1"/>
      <c r="C5" s="1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</row>
    <row r="6" spans="1:24" ht="15.75" thickBot="1" x14ac:dyDescent="0.3">
      <c r="A6" s="2"/>
      <c r="B6" s="2"/>
      <c r="C6" s="2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</row>
    <row r="10" spans="1:24" x14ac:dyDescent="0.25">
      <c r="E10" s="204" t="s">
        <v>194</v>
      </c>
      <c r="F10" s="203"/>
      <c r="G10" s="85"/>
      <c r="H10" s="86"/>
    </row>
    <row r="11" spans="1:24" x14ac:dyDescent="0.25">
      <c r="E11" s="112"/>
      <c r="F11" s="21"/>
      <c r="G11" s="8"/>
      <c r="H11" s="78"/>
    </row>
    <row r="12" spans="1:24" ht="18.75" x14ac:dyDescent="0.25">
      <c r="E12" s="112"/>
      <c r="F12" s="113" t="s">
        <v>25</v>
      </c>
      <c r="G12" s="207" t="s">
        <v>281</v>
      </c>
      <c r="H12" s="78"/>
    </row>
    <row r="13" spans="1:24" x14ac:dyDescent="0.25">
      <c r="E13" s="112"/>
      <c r="F13" s="21"/>
      <c r="G13" s="8"/>
      <c r="H13" s="78"/>
    </row>
    <row r="14" spans="1:24" hidden="1" x14ac:dyDescent="0.25">
      <c r="E14" s="112"/>
      <c r="F14" s="8"/>
      <c r="G14" s="8"/>
      <c r="H14" s="78"/>
    </row>
    <row r="15" spans="1:24" hidden="1" x14ac:dyDescent="0.25">
      <c r="E15" s="112"/>
      <c r="F15" s="113"/>
      <c r="G15" s="8"/>
      <c r="H15" s="78"/>
    </row>
    <row r="16" spans="1:24" x14ac:dyDescent="0.25">
      <c r="E16" s="112"/>
      <c r="F16" s="21"/>
      <c r="G16" s="8"/>
      <c r="H16" s="78"/>
    </row>
    <row r="17" spans="3:10" x14ac:dyDescent="0.25">
      <c r="E17" s="112"/>
      <c r="F17" s="21"/>
      <c r="G17" s="8"/>
      <c r="H17" s="78"/>
    </row>
    <row r="18" spans="3:10" x14ac:dyDescent="0.25">
      <c r="E18" s="116"/>
      <c r="F18" s="117"/>
      <c r="G18" s="81"/>
      <c r="H18" s="82"/>
    </row>
    <row r="21" spans="3:10" ht="15.75" x14ac:dyDescent="0.25">
      <c r="F21" s="200" t="s">
        <v>192</v>
      </c>
      <c r="G21" s="205">
        <f>SUM(G24:G28000)</f>
        <v>0</v>
      </c>
      <c r="H21" s="205">
        <f t="shared" ref="H21:I21" si="0">SUM(H24:H28000)</f>
        <v>0</v>
      </c>
      <c r="I21" s="205">
        <f t="shared" si="0"/>
        <v>0</v>
      </c>
    </row>
    <row r="22" spans="3:10" ht="15.75" x14ac:dyDescent="0.25">
      <c r="F22" s="200" t="s">
        <v>193</v>
      </c>
      <c r="G22" s="205">
        <f>SUBTOTAL(9,G24:G28000)</f>
        <v>0</v>
      </c>
      <c r="H22" s="206">
        <f t="shared" ref="H22:I22" si="1">SUBTOTAL(9,H24:H28000)</f>
        <v>0</v>
      </c>
      <c r="I22" s="206">
        <f t="shared" si="1"/>
        <v>0</v>
      </c>
    </row>
    <row r="23" spans="3:10" ht="41.25" customHeight="1" x14ac:dyDescent="0.25">
      <c r="C23" s="169" t="s">
        <v>29</v>
      </c>
      <c r="D23" s="170" t="s">
        <v>191</v>
      </c>
      <c r="E23" s="170" t="s">
        <v>7</v>
      </c>
      <c r="F23" s="170" t="s">
        <v>6</v>
      </c>
      <c r="G23" s="170" t="s">
        <v>100</v>
      </c>
      <c r="H23" s="170" t="s">
        <v>105</v>
      </c>
      <c r="I23" s="171" t="s">
        <v>99</v>
      </c>
    </row>
    <row r="24" spans="3:10" x14ac:dyDescent="0.25">
      <c r="C24" s="193"/>
      <c r="D24" s="201"/>
      <c r="E24" s="201"/>
      <c r="F24" s="201"/>
      <c r="G24" s="96"/>
      <c r="H24" s="96"/>
      <c r="I24" s="194"/>
    </row>
    <row r="25" spans="3:10" x14ac:dyDescent="0.25">
      <c r="C25" s="193"/>
      <c r="D25" s="201"/>
      <c r="E25" s="201"/>
      <c r="F25" s="201"/>
      <c r="G25" s="96"/>
      <c r="H25" s="96"/>
      <c r="I25" s="194"/>
    </row>
    <row r="26" spans="3:10" x14ac:dyDescent="0.25">
      <c r="C26" s="193"/>
      <c r="D26" s="201"/>
      <c r="E26" s="201"/>
      <c r="F26" s="201"/>
      <c r="G26" s="96"/>
      <c r="H26" s="96"/>
      <c r="I26" s="194"/>
    </row>
    <row r="27" spans="3:10" x14ac:dyDescent="0.25">
      <c r="C27" s="193"/>
      <c r="D27" s="201"/>
      <c r="E27" s="201"/>
      <c r="F27" s="201"/>
      <c r="G27" s="96"/>
      <c r="H27" s="96"/>
      <c r="I27" s="194"/>
      <c r="J27" s="198"/>
    </row>
    <row r="28" spans="3:10" x14ac:dyDescent="0.25">
      <c r="C28" s="193"/>
      <c r="D28" s="201"/>
      <c r="E28" s="201"/>
      <c r="F28" s="201"/>
      <c r="G28" s="96"/>
      <c r="H28" s="96"/>
      <c r="I28" s="194"/>
      <c r="J28" s="198"/>
    </row>
    <row r="29" spans="3:10" x14ac:dyDescent="0.25">
      <c r="C29" s="193"/>
      <c r="D29" s="201"/>
      <c r="E29" s="201"/>
      <c r="F29" s="201"/>
      <c r="G29" s="96"/>
      <c r="H29" s="96"/>
      <c r="I29" s="194"/>
      <c r="J29" s="198"/>
    </row>
    <row r="30" spans="3:10" x14ac:dyDescent="0.25">
      <c r="C30" s="195"/>
      <c r="D30" s="202"/>
      <c r="E30" s="202"/>
      <c r="F30" s="202"/>
      <c r="G30" s="196"/>
      <c r="H30" s="196"/>
      <c r="I30" s="197"/>
      <c r="J30" s="198"/>
    </row>
    <row r="31" spans="3:10" x14ac:dyDescent="0.25">
      <c r="C31" s="193"/>
      <c r="D31" s="201"/>
      <c r="E31" s="201"/>
      <c r="F31" s="201"/>
      <c r="G31" s="96"/>
      <c r="H31" s="96"/>
      <c r="I31" s="194"/>
      <c r="J31" s="198"/>
    </row>
    <row r="32" spans="3:10" x14ac:dyDescent="0.25">
      <c r="C32" s="193"/>
      <c r="D32" s="201"/>
      <c r="E32" s="201"/>
      <c r="F32" s="201"/>
      <c r="G32" s="96"/>
      <c r="H32" s="96"/>
      <c r="I32" s="194"/>
      <c r="J32" s="198"/>
    </row>
    <row r="33" spans="3:10" x14ac:dyDescent="0.25">
      <c r="C33" s="193"/>
      <c r="D33" s="201"/>
      <c r="E33" s="201"/>
      <c r="F33" s="201"/>
      <c r="G33" s="96"/>
      <c r="H33" s="96"/>
      <c r="I33" s="194"/>
      <c r="J33" s="198"/>
    </row>
    <row r="34" spans="3:10" x14ac:dyDescent="0.25">
      <c r="C34" s="193"/>
      <c r="D34" s="201"/>
      <c r="E34" s="201"/>
      <c r="F34" s="201"/>
      <c r="G34" s="96"/>
      <c r="H34" s="96"/>
      <c r="I34" s="194"/>
      <c r="J34" s="198"/>
    </row>
    <row r="35" spans="3:10" x14ac:dyDescent="0.25">
      <c r="C35" s="193"/>
      <c r="D35" s="201"/>
      <c r="E35" s="201"/>
      <c r="F35" s="201"/>
      <c r="G35" s="96"/>
      <c r="H35" s="96"/>
      <c r="I35" s="194"/>
      <c r="J35" s="198"/>
    </row>
    <row r="36" spans="3:10" x14ac:dyDescent="0.25">
      <c r="C36" s="193"/>
      <c r="D36" s="201"/>
      <c r="E36" s="201"/>
      <c r="F36" s="201"/>
      <c r="G36" s="96"/>
      <c r="H36" s="96"/>
      <c r="I36" s="194"/>
      <c r="J36" s="198"/>
    </row>
    <row r="37" spans="3:10" x14ac:dyDescent="0.25">
      <c r="C37" s="193"/>
      <c r="D37" s="201"/>
      <c r="E37" s="201"/>
      <c r="F37" s="201"/>
      <c r="G37" s="96"/>
      <c r="H37" s="96"/>
      <c r="I37" s="194"/>
      <c r="J37" s="198"/>
    </row>
    <row r="38" spans="3:10" x14ac:dyDescent="0.25">
      <c r="C38" s="193"/>
      <c r="D38" s="201"/>
      <c r="E38" s="201"/>
      <c r="F38" s="201"/>
      <c r="G38" s="96"/>
      <c r="H38" s="96"/>
      <c r="I38" s="194"/>
      <c r="J38" s="198"/>
    </row>
    <row r="39" spans="3:10" x14ac:dyDescent="0.25">
      <c r="C39" s="193"/>
      <c r="D39" s="201"/>
      <c r="E39" s="201"/>
      <c r="F39" s="201"/>
      <c r="G39" s="96"/>
      <c r="H39" s="96"/>
      <c r="I39" s="194"/>
      <c r="J39" s="198"/>
    </row>
    <row r="40" spans="3:10" x14ac:dyDescent="0.25">
      <c r="C40" s="193"/>
      <c r="D40" s="201"/>
      <c r="E40" s="201"/>
      <c r="F40" s="201"/>
      <c r="G40" s="96"/>
      <c r="H40" s="96"/>
      <c r="I40" s="194"/>
      <c r="J40" s="198"/>
    </row>
    <row r="41" spans="3:10" x14ac:dyDescent="0.25">
      <c r="C41" s="193"/>
      <c r="D41" s="201"/>
      <c r="E41" s="201"/>
      <c r="F41" s="201"/>
      <c r="G41" s="96"/>
      <c r="H41" s="96"/>
      <c r="I41" s="194"/>
      <c r="J41" s="198"/>
    </row>
    <row r="42" spans="3:10" x14ac:dyDescent="0.25">
      <c r="C42" s="193"/>
      <c r="D42" s="201"/>
      <c r="E42" s="201"/>
      <c r="F42" s="201"/>
      <c r="G42" s="96"/>
      <c r="H42" s="96"/>
      <c r="I42" s="194"/>
      <c r="J42" s="198"/>
    </row>
    <row r="43" spans="3:10" x14ac:dyDescent="0.25">
      <c r="C43" s="193"/>
      <c r="D43" s="201"/>
      <c r="E43" s="201"/>
      <c r="F43" s="201"/>
      <c r="G43" s="96"/>
      <c r="H43" s="96"/>
      <c r="I43" s="194"/>
    </row>
    <row r="44" spans="3:10" x14ac:dyDescent="0.25">
      <c r="C44" s="193"/>
      <c r="D44" s="201"/>
      <c r="E44" s="201"/>
      <c r="F44" s="201"/>
      <c r="G44" s="96"/>
      <c r="H44" s="96"/>
      <c r="I44" s="194"/>
    </row>
    <row r="45" spans="3:10" x14ac:dyDescent="0.25">
      <c r="C45" s="193"/>
      <c r="D45" s="201"/>
      <c r="E45" s="201"/>
      <c r="F45" s="201"/>
      <c r="G45" s="96"/>
      <c r="H45" s="96"/>
      <c r="I45" s="194"/>
    </row>
    <row r="46" spans="3:10" x14ac:dyDescent="0.25">
      <c r="C46" s="193"/>
      <c r="D46" s="201"/>
      <c r="E46" s="201"/>
      <c r="F46" s="201"/>
      <c r="G46" s="96"/>
      <c r="H46" s="96"/>
      <c r="I46" s="194"/>
    </row>
    <row r="47" spans="3:10" x14ac:dyDescent="0.25">
      <c r="C47" s="193"/>
      <c r="D47" s="201"/>
      <c r="E47" s="201"/>
      <c r="F47" s="201"/>
      <c r="G47" s="96"/>
      <c r="H47" s="96"/>
      <c r="I47" s="194"/>
    </row>
    <row r="48" spans="3:10" x14ac:dyDescent="0.25">
      <c r="C48" s="193"/>
      <c r="D48" s="201"/>
      <c r="E48" s="201"/>
      <c r="F48" s="201"/>
      <c r="G48" s="96"/>
      <c r="H48" s="96"/>
      <c r="I48" s="194"/>
    </row>
    <row r="49" spans="3:9" x14ac:dyDescent="0.25">
      <c r="C49" s="193"/>
      <c r="D49" s="201"/>
      <c r="E49" s="201"/>
      <c r="F49" s="201"/>
      <c r="G49" s="96"/>
      <c r="H49" s="96"/>
      <c r="I49" s="194"/>
    </row>
    <row r="50" spans="3:9" x14ac:dyDescent="0.25">
      <c r="C50" s="193"/>
      <c r="D50" s="201"/>
      <c r="E50" s="201"/>
      <c r="F50" s="201"/>
      <c r="G50" s="96"/>
      <c r="H50" s="96"/>
      <c r="I50" s="194"/>
    </row>
    <row r="51" spans="3:9" x14ac:dyDescent="0.25">
      <c r="C51" s="193"/>
      <c r="D51" s="201"/>
      <c r="E51" s="201"/>
      <c r="F51" s="201"/>
      <c r="G51" s="96"/>
      <c r="H51" s="96"/>
      <c r="I51" s="194"/>
    </row>
    <row r="52" spans="3:9" x14ac:dyDescent="0.25">
      <c r="C52" s="193"/>
      <c r="D52" s="201"/>
      <c r="E52" s="201"/>
      <c r="F52" s="201"/>
      <c r="G52" s="96"/>
      <c r="H52" s="96"/>
      <c r="I52" s="194"/>
    </row>
    <row r="53" spans="3:9" x14ac:dyDescent="0.25">
      <c r="C53" s="193"/>
      <c r="D53" s="201"/>
      <c r="E53" s="201"/>
      <c r="F53" s="201"/>
      <c r="G53" s="96"/>
      <c r="H53" s="96"/>
      <c r="I53" s="194"/>
    </row>
    <row r="54" spans="3:9" x14ac:dyDescent="0.25">
      <c r="C54" s="193"/>
      <c r="D54" s="201"/>
      <c r="E54" s="201"/>
      <c r="F54" s="201"/>
      <c r="G54" s="96"/>
      <c r="H54" s="96"/>
      <c r="I54" s="194"/>
    </row>
    <row r="55" spans="3:9" x14ac:dyDescent="0.25">
      <c r="C55" s="193"/>
      <c r="D55" s="201"/>
      <c r="E55" s="201"/>
      <c r="F55" s="201"/>
      <c r="G55" s="96"/>
      <c r="H55" s="96"/>
      <c r="I55" s="194"/>
    </row>
    <row r="56" spans="3:9" x14ac:dyDescent="0.25">
      <c r="C56" s="193"/>
      <c r="D56" s="201"/>
      <c r="E56" s="201"/>
      <c r="F56" s="201"/>
      <c r="G56" s="96"/>
      <c r="H56" s="96"/>
      <c r="I56" s="194"/>
    </row>
    <row r="57" spans="3:9" x14ac:dyDescent="0.25">
      <c r="C57" s="193"/>
      <c r="D57" s="201"/>
      <c r="E57" s="201"/>
      <c r="F57" s="201"/>
      <c r="G57" s="96"/>
      <c r="H57" s="96"/>
      <c r="I57" s="194"/>
    </row>
    <row r="58" spans="3:9" x14ac:dyDescent="0.25">
      <c r="C58" s="193"/>
      <c r="D58" s="201"/>
      <c r="E58" s="201"/>
      <c r="F58" s="201"/>
      <c r="G58" s="96"/>
      <c r="H58" s="96"/>
      <c r="I58" s="194"/>
    </row>
    <row r="59" spans="3:9" x14ac:dyDescent="0.25">
      <c r="C59" s="193"/>
      <c r="D59" s="201"/>
      <c r="E59" s="201"/>
      <c r="F59" s="201"/>
      <c r="G59" s="96"/>
      <c r="H59" s="96"/>
      <c r="I59" s="194"/>
    </row>
    <row r="60" spans="3:9" x14ac:dyDescent="0.25">
      <c r="C60" s="193"/>
      <c r="D60" s="201"/>
      <c r="E60" s="201"/>
      <c r="F60" s="201"/>
      <c r="G60" s="96"/>
      <c r="H60" s="96"/>
      <c r="I60" s="194"/>
    </row>
    <row r="61" spans="3:9" x14ac:dyDescent="0.25">
      <c r="C61" s="193"/>
      <c r="D61" s="201"/>
      <c r="E61" s="201"/>
      <c r="F61" s="201"/>
      <c r="G61" s="96"/>
      <c r="H61" s="96"/>
      <c r="I61" s="194"/>
    </row>
    <row r="62" spans="3:9" x14ac:dyDescent="0.25">
      <c r="C62" s="193"/>
      <c r="D62" s="201"/>
      <c r="E62" s="201"/>
      <c r="F62" s="201"/>
      <c r="G62" s="96"/>
      <c r="H62" s="96"/>
      <c r="I62" s="194"/>
    </row>
    <row r="63" spans="3:9" x14ac:dyDescent="0.25">
      <c r="C63" s="193"/>
      <c r="D63" s="201"/>
      <c r="E63" s="201"/>
      <c r="F63" s="201"/>
      <c r="G63" s="96"/>
      <c r="H63" s="96"/>
      <c r="I63" s="194"/>
    </row>
    <row r="64" spans="3:9" x14ac:dyDescent="0.25">
      <c r="C64" s="193"/>
      <c r="D64" s="201"/>
      <c r="E64" s="201"/>
      <c r="F64" s="201"/>
      <c r="G64" s="96"/>
      <c r="H64" s="96"/>
      <c r="I64" s="194"/>
    </row>
    <row r="65" spans="3:9" x14ac:dyDescent="0.25">
      <c r="C65" s="193"/>
      <c r="D65" s="201"/>
      <c r="E65" s="201"/>
      <c r="F65" s="201"/>
      <c r="G65" s="96"/>
      <c r="H65" s="96"/>
      <c r="I65" s="194"/>
    </row>
    <row r="66" spans="3:9" x14ac:dyDescent="0.25">
      <c r="C66" s="193"/>
      <c r="D66" s="201"/>
      <c r="E66" s="201"/>
      <c r="F66" s="201"/>
      <c r="G66" s="96"/>
      <c r="H66" s="96"/>
      <c r="I66" s="194"/>
    </row>
    <row r="67" spans="3:9" x14ac:dyDescent="0.25">
      <c r="C67" s="193"/>
      <c r="D67" s="201"/>
      <c r="E67" s="201"/>
      <c r="F67" s="201"/>
      <c r="G67" s="96"/>
      <c r="H67" s="96"/>
      <c r="I67" s="194"/>
    </row>
    <row r="68" spans="3:9" x14ac:dyDescent="0.25">
      <c r="C68" s="193"/>
      <c r="D68" s="201"/>
      <c r="E68" s="201"/>
      <c r="F68" s="201"/>
      <c r="G68" s="96"/>
      <c r="H68" s="96"/>
      <c r="I68" s="194"/>
    </row>
    <row r="69" spans="3:9" x14ac:dyDescent="0.25">
      <c r="C69" s="193"/>
      <c r="D69" s="201"/>
      <c r="E69" s="201"/>
      <c r="F69" s="201"/>
      <c r="G69" s="96"/>
      <c r="H69" s="96"/>
      <c r="I69" s="194"/>
    </row>
    <row r="70" spans="3:9" x14ac:dyDescent="0.25">
      <c r="C70" s="193"/>
      <c r="D70" s="201"/>
      <c r="E70" s="201"/>
      <c r="F70" s="201"/>
      <c r="G70" s="96"/>
      <c r="H70" s="96"/>
      <c r="I70" s="194"/>
    </row>
    <row r="71" spans="3:9" x14ac:dyDescent="0.25">
      <c r="C71" s="193"/>
      <c r="D71" s="201"/>
      <c r="E71" s="201"/>
      <c r="F71" s="201"/>
      <c r="G71" s="96"/>
      <c r="H71" s="96"/>
      <c r="I71" s="194"/>
    </row>
    <row r="72" spans="3:9" x14ac:dyDescent="0.25">
      <c r="C72" s="193"/>
      <c r="D72" s="201"/>
      <c r="E72" s="201"/>
      <c r="F72" s="201"/>
      <c r="G72" s="96"/>
      <c r="H72" s="96"/>
      <c r="I72" s="194"/>
    </row>
    <row r="73" spans="3:9" x14ac:dyDescent="0.25">
      <c r="C73" s="193"/>
      <c r="D73" s="201"/>
      <c r="E73" s="201"/>
      <c r="F73" s="201"/>
      <c r="G73" s="96"/>
      <c r="H73" s="96"/>
      <c r="I73" s="194"/>
    </row>
    <row r="74" spans="3:9" x14ac:dyDescent="0.25">
      <c r="C74" s="193"/>
      <c r="D74" s="201"/>
      <c r="E74" s="201"/>
      <c r="F74" s="201"/>
      <c r="G74" s="96"/>
      <c r="H74" s="96"/>
      <c r="I74" s="194"/>
    </row>
    <row r="75" spans="3:9" x14ac:dyDescent="0.25">
      <c r="C75" s="193"/>
      <c r="D75" s="201"/>
      <c r="E75" s="201"/>
      <c r="F75" s="201"/>
      <c r="G75" s="96"/>
      <c r="H75" s="96"/>
      <c r="I75" s="194"/>
    </row>
    <row r="76" spans="3:9" x14ac:dyDescent="0.25">
      <c r="C76" s="193"/>
      <c r="D76" s="201"/>
      <c r="E76" s="201"/>
      <c r="F76" s="201"/>
      <c r="G76" s="96"/>
      <c r="H76" s="96"/>
      <c r="I76" s="194"/>
    </row>
    <row r="77" spans="3:9" x14ac:dyDescent="0.25">
      <c r="C77" s="193"/>
      <c r="D77" s="201"/>
      <c r="E77" s="201"/>
      <c r="F77" s="201"/>
      <c r="G77" s="96"/>
      <c r="H77" s="96"/>
      <c r="I77" s="194"/>
    </row>
    <row r="78" spans="3:9" x14ac:dyDescent="0.25">
      <c r="C78" s="193"/>
      <c r="D78" s="201"/>
      <c r="E78" s="201"/>
      <c r="F78" s="201"/>
      <c r="G78" s="96"/>
      <c r="H78" s="96"/>
      <c r="I78" s="194"/>
    </row>
    <row r="79" spans="3:9" x14ac:dyDescent="0.25">
      <c r="C79" s="193"/>
      <c r="D79" s="201"/>
      <c r="E79" s="201"/>
      <c r="F79" s="201"/>
      <c r="G79" s="96"/>
      <c r="H79" s="96"/>
      <c r="I79" s="194"/>
    </row>
    <row r="80" spans="3:9" x14ac:dyDescent="0.25">
      <c r="C80" s="193"/>
      <c r="D80" s="201"/>
      <c r="E80" s="201"/>
      <c r="F80" s="201"/>
      <c r="G80" s="96"/>
      <c r="H80" s="96"/>
      <c r="I80" s="194"/>
    </row>
    <row r="81" spans="3:9" x14ac:dyDescent="0.25">
      <c r="C81" s="193"/>
      <c r="D81" s="201"/>
      <c r="E81" s="201"/>
      <c r="F81" s="201"/>
      <c r="G81" s="96"/>
      <c r="H81" s="96"/>
      <c r="I81" s="194"/>
    </row>
    <row r="82" spans="3:9" x14ac:dyDescent="0.25">
      <c r="C82" s="193"/>
      <c r="D82" s="201"/>
      <c r="E82" s="201"/>
      <c r="F82" s="201"/>
      <c r="G82" s="96"/>
      <c r="H82" s="96"/>
      <c r="I82" s="194"/>
    </row>
    <row r="83" spans="3:9" x14ac:dyDescent="0.25">
      <c r="C83" s="193"/>
      <c r="D83" s="201"/>
      <c r="E83" s="201"/>
      <c r="F83" s="201"/>
      <c r="G83" s="96"/>
      <c r="H83" s="96"/>
      <c r="I83" s="194"/>
    </row>
    <row r="84" spans="3:9" x14ac:dyDescent="0.25">
      <c r="C84" s="193"/>
      <c r="D84" s="201"/>
      <c r="E84" s="201"/>
      <c r="F84" s="201"/>
      <c r="G84" s="96"/>
      <c r="H84" s="96"/>
      <c r="I84" s="194"/>
    </row>
    <row r="85" spans="3:9" x14ac:dyDescent="0.25">
      <c r="C85" s="193"/>
      <c r="D85" s="201"/>
      <c r="E85" s="201"/>
      <c r="F85" s="201"/>
      <c r="G85" s="96"/>
      <c r="H85" s="96"/>
      <c r="I85" s="194"/>
    </row>
    <row r="86" spans="3:9" x14ac:dyDescent="0.25">
      <c r="C86" s="193"/>
      <c r="D86" s="201"/>
      <c r="E86" s="201"/>
      <c r="F86" s="201"/>
      <c r="G86" s="96"/>
      <c r="H86" s="96"/>
      <c r="I86" s="194"/>
    </row>
    <row r="87" spans="3:9" x14ac:dyDescent="0.25">
      <c r="C87" s="193"/>
      <c r="D87" s="201"/>
      <c r="E87" s="201"/>
      <c r="F87" s="201"/>
      <c r="G87" s="96"/>
      <c r="H87" s="96"/>
      <c r="I87" s="194"/>
    </row>
    <row r="88" spans="3:9" x14ac:dyDescent="0.25">
      <c r="C88" s="193"/>
      <c r="D88" s="201"/>
      <c r="E88" s="201"/>
      <c r="F88" s="201"/>
      <c r="G88" s="96"/>
      <c r="H88" s="96"/>
      <c r="I88" s="194"/>
    </row>
    <row r="89" spans="3:9" x14ac:dyDescent="0.25">
      <c r="C89" s="193"/>
      <c r="D89" s="201"/>
      <c r="E89" s="201"/>
      <c r="F89" s="201"/>
      <c r="G89" s="96"/>
      <c r="H89" s="96"/>
      <c r="I89" s="194"/>
    </row>
    <row r="90" spans="3:9" x14ac:dyDescent="0.25">
      <c r="C90" s="193"/>
      <c r="D90" s="201"/>
      <c r="E90" s="201"/>
      <c r="F90" s="201"/>
      <c r="G90" s="96"/>
      <c r="H90" s="96"/>
      <c r="I90" s="194"/>
    </row>
    <row r="91" spans="3:9" x14ac:dyDescent="0.25">
      <c r="C91" s="193"/>
      <c r="D91" s="201"/>
      <c r="E91" s="201"/>
      <c r="F91" s="201"/>
      <c r="G91" s="96"/>
      <c r="H91" s="96"/>
      <c r="I91" s="194"/>
    </row>
    <row r="92" spans="3:9" x14ac:dyDescent="0.25">
      <c r="C92" s="193"/>
      <c r="D92" s="201"/>
      <c r="E92" s="201"/>
      <c r="F92" s="201"/>
      <c r="G92" s="96"/>
      <c r="H92" s="96"/>
      <c r="I92" s="194"/>
    </row>
    <row r="93" spans="3:9" x14ac:dyDescent="0.25">
      <c r="C93" s="193"/>
      <c r="D93" s="201"/>
      <c r="E93" s="201"/>
      <c r="F93" s="201"/>
      <c r="G93" s="96"/>
      <c r="H93" s="96"/>
      <c r="I93" s="194"/>
    </row>
    <row r="94" spans="3:9" x14ac:dyDescent="0.25">
      <c r="C94" s="193"/>
      <c r="D94" s="201"/>
      <c r="E94" s="201"/>
      <c r="F94" s="201"/>
      <c r="G94" s="96"/>
      <c r="H94" s="96"/>
      <c r="I94" s="194"/>
    </row>
    <row r="95" spans="3:9" x14ac:dyDescent="0.25">
      <c r="C95" s="193"/>
      <c r="D95" s="201"/>
      <c r="E95" s="201"/>
      <c r="F95" s="201"/>
      <c r="G95" s="96"/>
      <c r="H95" s="96"/>
      <c r="I95" s="194"/>
    </row>
    <row r="96" spans="3:9" x14ac:dyDescent="0.25">
      <c r="C96" s="193"/>
      <c r="D96" s="201"/>
      <c r="E96" s="201"/>
      <c r="F96" s="201"/>
      <c r="G96" s="96"/>
      <c r="H96" s="96"/>
      <c r="I96" s="194"/>
    </row>
    <row r="97" spans="3:9" x14ac:dyDescent="0.25">
      <c r="C97" s="193"/>
      <c r="D97" s="201"/>
      <c r="E97" s="201"/>
      <c r="F97" s="201"/>
      <c r="G97" s="96"/>
      <c r="H97" s="96"/>
      <c r="I97" s="194"/>
    </row>
    <row r="98" spans="3:9" x14ac:dyDescent="0.25">
      <c r="C98" s="193"/>
      <c r="D98" s="201"/>
      <c r="E98" s="201"/>
      <c r="F98" s="201"/>
      <c r="G98" s="96"/>
      <c r="H98" s="96"/>
      <c r="I98" s="194"/>
    </row>
    <row r="99" spans="3:9" x14ac:dyDescent="0.25">
      <c r="C99" s="193"/>
      <c r="D99" s="201"/>
      <c r="E99" s="201"/>
      <c r="F99" s="201"/>
      <c r="G99" s="96"/>
      <c r="H99" s="96"/>
      <c r="I99" s="194"/>
    </row>
    <row r="100" spans="3:9" x14ac:dyDescent="0.25">
      <c r="C100" s="193"/>
      <c r="D100" s="201"/>
      <c r="E100" s="201"/>
      <c r="F100" s="201"/>
      <c r="G100" s="96"/>
      <c r="H100" s="96"/>
      <c r="I100" s="194"/>
    </row>
    <row r="101" spans="3:9" x14ac:dyDescent="0.25">
      <c r="C101" s="193"/>
      <c r="D101" s="201"/>
      <c r="E101" s="201"/>
      <c r="F101" s="201"/>
      <c r="G101" s="96"/>
      <c r="H101" s="96"/>
      <c r="I101" s="194"/>
    </row>
    <row r="102" spans="3:9" x14ac:dyDescent="0.25">
      <c r="C102" s="193"/>
      <c r="D102" s="201"/>
      <c r="E102" s="201"/>
      <c r="F102" s="201"/>
      <c r="G102" s="96"/>
      <c r="H102" s="96"/>
      <c r="I102" s="194"/>
    </row>
    <row r="103" spans="3:9" x14ac:dyDescent="0.25">
      <c r="C103" s="193"/>
      <c r="D103" s="201"/>
      <c r="E103" s="201"/>
      <c r="F103" s="201"/>
      <c r="G103" s="96"/>
      <c r="H103" s="96"/>
      <c r="I103" s="194"/>
    </row>
    <row r="104" spans="3:9" x14ac:dyDescent="0.25">
      <c r="C104" s="193"/>
      <c r="D104" s="201"/>
      <c r="E104" s="201"/>
      <c r="F104" s="201"/>
      <c r="G104" s="96"/>
      <c r="H104" s="96"/>
      <c r="I104" s="194"/>
    </row>
    <row r="105" spans="3:9" x14ac:dyDescent="0.25">
      <c r="C105" s="193"/>
      <c r="D105" s="201"/>
      <c r="E105" s="201"/>
      <c r="F105" s="201"/>
      <c r="G105" s="96"/>
      <c r="H105" s="96"/>
      <c r="I105" s="194"/>
    </row>
    <row r="106" spans="3:9" x14ac:dyDescent="0.25">
      <c r="C106" s="193"/>
      <c r="D106" s="201"/>
      <c r="E106" s="201"/>
      <c r="F106" s="201"/>
      <c r="G106" s="96"/>
      <c r="H106" s="96"/>
      <c r="I106" s="194"/>
    </row>
    <row r="107" spans="3:9" x14ac:dyDescent="0.25">
      <c r="C107" s="193"/>
      <c r="D107" s="201"/>
      <c r="E107" s="201"/>
      <c r="F107" s="201"/>
      <c r="G107" s="96"/>
      <c r="H107" s="96"/>
      <c r="I107" s="194"/>
    </row>
    <row r="108" spans="3:9" x14ac:dyDescent="0.25">
      <c r="C108" s="193"/>
      <c r="D108" s="201"/>
      <c r="E108" s="201"/>
      <c r="F108" s="201"/>
      <c r="G108" s="96"/>
      <c r="H108" s="96"/>
      <c r="I108" s="194"/>
    </row>
    <row r="109" spans="3:9" x14ac:dyDescent="0.25">
      <c r="C109" s="193"/>
      <c r="D109" s="201"/>
      <c r="E109" s="201"/>
      <c r="F109" s="201"/>
      <c r="G109" s="96"/>
      <c r="H109" s="96"/>
      <c r="I109" s="194"/>
    </row>
    <row r="110" spans="3:9" x14ac:dyDescent="0.25">
      <c r="C110" s="193"/>
      <c r="D110" s="201"/>
      <c r="E110" s="201"/>
      <c r="F110" s="201"/>
      <c r="G110" s="96"/>
      <c r="H110" s="96"/>
      <c r="I110" s="194"/>
    </row>
    <row r="111" spans="3:9" x14ac:dyDescent="0.25">
      <c r="C111" s="193"/>
      <c r="D111" s="201"/>
      <c r="E111" s="201"/>
      <c r="F111" s="201"/>
      <c r="G111" s="96"/>
      <c r="H111" s="96"/>
      <c r="I111" s="194"/>
    </row>
    <row r="112" spans="3:9" x14ac:dyDescent="0.25">
      <c r="C112" s="193"/>
      <c r="D112" s="201"/>
      <c r="E112" s="201"/>
      <c r="F112" s="201"/>
      <c r="G112" s="96"/>
      <c r="H112" s="96"/>
      <c r="I112" s="194"/>
    </row>
    <row r="113" spans="3:9" x14ac:dyDescent="0.25">
      <c r="C113" s="193"/>
      <c r="D113" s="201"/>
      <c r="E113" s="201"/>
      <c r="F113" s="201"/>
      <c r="G113" s="96"/>
      <c r="H113" s="96"/>
      <c r="I113" s="194"/>
    </row>
    <row r="114" spans="3:9" x14ac:dyDescent="0.25">
      <c r="C114" s="193"/>
      <c r="D114" s="201"/>
      <c r="E114" s="201"/>
      <c r="F114" s="201"/>
      <c r="G114" s="96"/>
      <c r="H114" s="96"/>
      <c r="I114" s="194"/>
    </row>
    <row r="115" spans="3:9" x14ac:dyDescent="0.25">
      <c r="C115" s="193"/>
      <c r="D115" s="201"/>
      <c r="E115" s="201"/>
      <c r="F115" s="201"/>
      <c r="G115" s="96"/>
      <c r="H115" s="96"/>
      <c r="I115" s="194"/>
    </row>
    <row r="116" spans="3:9" x14ac:dyDescent="0.25">
      <c r="C116" s="193"/>
      <c r="D116" s="201"/>
      <c r="E116" s="201"/>
      <c r="F116" s="201"/>
      <c r="G116" s="96"/>
      <c r="H116" s="96"/>
      <c r="I116" s="194"/>
    </row>
    <row r="117" spans="3:9" x14ac:dyDescent="0.25">
      <c r="C117" s="193"/>
      <c r="D117" s="201"/>
      <c r="E117" s="201"/>
      <c r="F117" s="201"/>
      <c r="G117" s="96"/>
      <c r="H117" s="96"/>
      <c r="I117" s="194"/>
    </row>
    <row r="118" spans="3:9" x14ac:dyDescent="0.25">
      <c r="C118" s="193"/>
      <c r="D118" s="201"/>
      <c r="E118" s="201"/>
      <c r="F118" s="201"/>
      <c r="G118" s="96"/>
      <c r="H118" s="96"/>
      <c r="I118" s="194"/>
    </row>
    <row r="119" spans="3:9" x14ac:dyDescent="0.25">
      <c r="C119" s="193"/>
      <c r="D119" s="201"/>
      <c r="E119" s="201"/>
      <c r="F119" s="201"/>
      <c r="G119" s="96"/>
      <c r="H119" s="96"/>
      <c r="I119" s="194"/>
    </row>
    <row r="120" spans="3:9" x14ac:dyDescent="0.25">
      <c r="C120" s="193"/>
      <c r="D120" s="201"/>
      <c r="E120" s="201"/>
      <c r="F120" s="201"/>
      <c r="G120" s="96"/>
      <c r="H120" s="96"/>
      <c r="I120" s="194"/>
    </row>
    <row r="121" spans="3:9" x14ac:dyDescent="0.25">
      <c r="C121" s="193"/>
      <c r="D121" s="201"/>
      <c r="E121" s="201"/>
      <c r="F121" s="201"/>
      <c r="G121" s="96"/>
      <c r="H121" s="96"/>
      <c r="I121" s="194"/>
    </row>
    <row r="122" spans="3:9" x14ac:dyDescent="0.25">
      <c r="C122" s="193"/>
      <c r="D122" s="201"/>
      <c r="E122" s="201"/>
      <c r="F122" s="201"/>
      <c r="G122" s="96"/>
      <c r="H122" s="96"/>
      <c r="I122" s="194"/>
    </row>
    <row r="123" spans="3:9" x14ac:dyDescent="0.25">
      <c r="C123" s="193"/>
      <c r="D123" s="201"/>
      <c r="E123" s="201"/>
      <c r="F123" s="201"/>
      <c r="G123" s="96"/>
      <c r="H123" s="96"/>
      <c r="I123" s="194"/>
    </row>
    <row r="124" spans="3:9" x14ac:dyDescent="0.25">
      <c r="C124" s="193"/>
      <c r="D124" s="201"/>
      <c r="E124" s="201"/>
      <c r="F124" s="201"/>
      <c r="G124" s="96"/>
      <c r="H124" s="96"/>
      <c r="I124" s="194"/>
    </row>
    <row r="125" spans="3:9" x14ac:dyDescent="0.25">
      <c r="C125" s="193"/>
      <c r="D125" s="201"/>
      <c r="E125" s="201"/>
      <c r="F125" s="201"/>
      <c r="G125" s="96"/>
      <c r="H125" s="96"/>
      <c r="I125" s="194"/>
    </row>
    <row r="126" spans="3:9" x14ac:dyDescent="0.25">
      <c r="C126" s="193"/>
      <c r="D126" s="201"/>
      <c r="E126" s="201"/>
      <c r="F126" s="201"/>
      <c r="G126" s="96"/>
      <c r="H126" s="96"/>
      <c r="I126" s="194"/>
    </row>
    <row r="127" spans="3:9" x14ac:dyDescent="0.25">
      <c r="C127" s="193"/>
      <c r="D127" s="201"/>
      <c r="E127" s="201"/>
      <c r="F127" s="201"/>
      <c r="G127" s="96"/>
      <c r="H127" s="96"/>
      <c r="I127" s="194"/>
    </row>
    <row r="128" spans="3:9" x14ac:dyDescent="0.25">
      <c r="C128" s="193"/>
      <c r="D128" s="201"/>
      <c r="E128" s="201"/>
      <c r="F128" s="201"/>
      <c r="G128" s="96"/>
      <c r="H128" s="96"/>
      <c r="I128" s="194"/>
    </row>
    <row r="129" spans="3:9" x14ac:dyDescent="0.25">
      <c r="C129" s="193"/>
      <c r="D129" s="201"/>
      <c r="E129" s="201"/>
      <c r="F129" s="201"/>
      <c r="G129" s="96"/>
      <c r="H129" s="96"/>
      <c r="I129" s="194"/>
    </row>
    <row r="130" spans="3:9" x14ac:dyDescent="0.25">
      <c r="C130" s="193"/>
      <c r="D130" s="201"/>
      <c r="E130" s="201"/>
      <c r="F130" s="201"/>
      <c r="G130" s="96"/>
      <c r="H130" s="96"/>
      <c r="I130" s="194"/>
    </row>
    <row r="131" spans="3:9" x14ac:dyDescent="0.25">
      <c r="C131" s="193"/>
      <c r="D131" s="201"/>
      <c r="E131" s="201"/>
      <c r="F131" s="201"/>
      <c r="G131" s="96"/>
      <c r="H131" s="96"/>
      <c r="I131" s="194"/>
    </row>
    <row r="132" spans="3:9" x14ac:dyDescent="0.25">
      <c r="C132" s="193"/>
      <c r="D132" s="201"/>
      <c r="E132" s="201"/>
      <c r="F132" s="201"/>
      <c r="G132" s="96"/>
      <c r="H132" s="96"/>
      <c r="I132" s="194"/>
    </row>
    <row r="133" spans="3:9" x14ac:dyDescent="0.25">
      <c r="C133" s="193"/>
      <c r="D133" s="201"/>
      <c r="E133" s="201"/>
      <c r="F133" s="201"/>
      <c r="G133" s="96"/>
      <c r="H133" s="96"/>
      <c r="I133" s="194"/>
    </row>
    <row r="134" spans="3:9" x14ac:dyDescent="0.25">
      <c r="C134" s="193"/>
      <c r="D134" s="201"/>
      <c r="E134" s="201"/>
      <c r="F134" s="201"/>
      <c r="G134" s="96"/>
      <c r="H134" s="96"/>
      <c r="I134" s="194"/>
    </row>
    <row r="135" spans="3:9" x14ac:dyDescent="0.25">
      <c r="C135" s="193"/>
      <c r="D135" s="201"/>
      <c r="E135" s="201"/>
      <c r="F135" s="201"/>
      <c r="G135" s="96"/>
      <c r="H135" s="96"/>
      <c r="I135" s="194"/>
    </row>
    <row r="136" spans="3:9" x14ac:dyDescent="0.25">
      <c r="C136" s="193"/>
      <c r="D136" s="201"/>
      <c r="E136" s="201"/>
      <c r="F136" s="201"/>
      <c r="G136" s="96"/>
      <c r="H136" s="96"/>
      <c r="I136" s="194"/>
    </row>
    <row r="137" spans="3:9" x14ac:dyDescent="0.25">
      <c r="C137" s="193"/>
      <c r="D137" s="201"/>
      <c r="E137" s="201"/>
      <c r="F137" s="201"/>
      <c r="G137" s="96"/>
      <c r="H137" s="96"/>
      <c r="I137" s="194"/>
    </row>
    <row r="138" spans="3:9" x14ac:dyDescent="0.25">
      <c r="C138" s="193"/>
      <c r="D138" s="201"/>
      <c r="E138" s="201"/>
      <c r="F138" s="201"/>
      <c r="G138" s="96"/>
      <c r="H138" s="96"/>
      <c r="I138" s="194"/>
    </row>
    <row r="139" spans="3:9" x14ac:dyDescent="0.25">
      <c r="C139" s="193"/>
      <c r="D139" s="201"/>
      <c r="E139" s="201"/>
      <c r="F139" s="201"/>
      <c r="G139" s="96"/>
      <c r="H139" s="96"/>
      <c r="I139" s="194"/>
    </row>
    <row r="140" spans="3:9" x14ac:dyDescent="0.25">
      <c r="C140" s="193"/>
      <c r="D140" s="201"/>
      <c r="E140" s="201"/>
      <c r="F140" s="201"/>
      <c r="G140" s="96"/>
      <c r="H140" s="96"/>
      <c r="I140" s="194"/>
    </row>
    <row r="141" spans="3:9" x14ac:dyDescent="0.25">
      <c r="C141" s="193"/>
      <c r="D141" s="201"/>
      <c r="E141" s="201"/>
      <c r="F141" s="201"/>
      <c r="G141" s="96"/>
      <c r="H141" s="96"/>
      <c r="I141" s="194"/>
    </row>
    <row r="142" spans="3:9" x14ac:dyDescent="0.25">
      <c r="C142" s="193"/>
      <c r="D142" s="201"/>
      <c r="E142" s="201"/>
      <c r="F142" s="201"/>
      <c r="G142" s="96"/>
      <c r="H142" s="96"/>
      <c r="I142" s="194"/>
    </row>
    <row r="143" spans="3:9" x14ac:dyDescent="0.25">
      <c r="C143" s="193"/>
      <c r="D143" s="201"/>
      <c r="E143" s="201"/>
      <c r="F143" s="201"/>
      <c r="G143" s="96"/>
      <c r="H143" s="96"/>
      <c r="I143" s="194"/>
    </row>
    <row r="144" spans="3:9" x14ac:dyDescent="0.25">
      <c r="C144" s="193"/>
      <c r="D144" s="201"/>
      <c r="E144" s="201"/>
      <c r="F144" s="201"/>
      <c r="G144" s="96"/>
      <c r="H144" s="96"/>
      <c r="I144" s="194"/>
    </row>
    <row r="145" spans="3:9" x14ac:dyDescent="0.25">
      <c r="C145" s="193"/>
      <c r="D145" s="201"/>
      <c r="E145" s="201"/>
      <c r="F145" s="201"/>
      <c r="G145" s="96"/>
      <c r="H145" s="96"/>
      <c r="I145" s="194"/>
    </row>
    <row r="146" spans="3:9" x14ac:dyDescent="0.25">
      <c r="C146" s="193"/>
      <c r="D146" s="201"/>
      <c r="E146" s="201"/>
      <c r="F146" s="201"/>
      <c r="G146" s="96"/>
      <c r="H146" s="96"/>
      <c r="I146" s="194"/>
    </row>
    <row r="147" spans="3:9" x14ac:dyDescent="0.25">
      <c r="C147" s="193"/>
      <c r="D147" s="201"/>
      <c r="E147" s="201"/>
      <c r="F147" s="201"/>
      <c r="G147" s="96"/>
      <c r="H147" s="96"/>
      <c r="I147" s="194"/>
    </row>
    <row r="148" spans="3:9" x14ac:dyDescent="0.25">
      <c r="C148" s="193"/>
      <c r="D148" s="201"/>
      <c r="E148" s="201"/>
      <c r="F148" s="201"/>
      <c r="G148" s="96"/>
      <c r="H148" s="96"/>
      <c r="I148" s="194"/>
    </row>
    <row r="149" spans="3:9" x14ac:dyDescent="0.25">
      <c r="C149" s="193"/>
      <c r="D149" s="201"/>
      <c r="E149" s="201"/>
      <c r="F149" s="201"/>
      <c r="G149" s="96"/>
      <c r="H149" s="96"/>
      <c r="I149" s="194"/>
    </row>
    <row r="150" spans="3:9" x14ac:dyDescent="0.25">
      <c r="C150" s="193"/>
      <c r="D150" s="201"/>
      <c r="E150" s="201"/>
      <c r="F150" s="201"/>
      <c r="G150" s="96"/>
      <c r="H150" s="96"/>
      <c r="I150" s="194"/>
    </row>
    <row r="151" spans="3:9" x14ac:dyDescent="0.25">
      <c r="C151" s="193"/>
      <c r="D151" s="201"/>
      <c r="E151" s="201"/>
      <c r="F151" s="201"/>
      <c r="G151" s="96"/>
      <c r="H151" s="96"/>
      <c r="I151" s="194"/>
    </row>
    <row r="152" spans="3:9" x14ac:dyDescent="0.25">
      <c r="C152" s="193"/>
      <c r="D152" s="201"/>
      <c r="E152" s="201"/>
      <c r="F152" s="201"/>
      <c r="G152" s="96"/>
      <c r="H152" s="96"/>
      <c r="I152" s="194"/>
    </row>
    <row r="153" spans="3:9" x14ac:dyDescent="0.25">
      <c r="C153" s="193"/>
      <c r="D153" s="201"/>
      <c r="E153" s="201"/>
      <c r="F153" s="201"/>
      <c r="G153" s="96"/>
      <c r="H153" s="96"/>
      <c r="I153" s="194"/>
    </row>
    <row r="154" spans="3:9" x14ac:dyDescent="0.25">
      <c r="C154" s="193"/>
      <c r="D154" s="201"/>
      <c r="E154" s="201"/>
      <c r="F154" s="201"/>
      <c r="G154" s="96"/>
      <c r="H154" s="96"/>
      <c r="I154" s="194"/>
    </row>
    <row r="155" spans="3:9" x14ac:dyDescent="0.25">
      <c r="C155" s="193"/>
      <c r="D155" s="201"/>
      <c r="E155" s="201"/>
      <c r="F155" s="201"/>
      <c r="G155" s="96"/>
      <c r="H155" s="96"/>
      <c r="I155" s="194"/>
    </row>
    <row r="156" spans="3:9" x14ac:dyDescent="0.25">
      <c r="C156" s="193"/>
      <c r="D156" s="201"/>
      <c r="E156" s="201"/>
      <c r="F156" s="201"/>
      <c r="G156" s="96"/>
      <c r="H156" s="96"/>
      <c r="I156" s="194"/>
    </row>
    <row r="157" spans="3:9" x14ac:dyDescent="0.25">
      <c r="C157" s="193"/>
      <c r="D157" s="201"/>
      <c r="E157" s="201"/>
      <c r="F157" s="201"/>
      <c r="G157" s="96"/>
      <c r="H157" s="96"/>
      <c r="I157" s="194"/>
    </row>
    <row r="158" spans="3:9" x14ac:dyDescent="0.25">
      <c r="C158" s="193"/>
      <c r="D158" s="201"/>
      <c r="E158" s="201"/>
      <c r="F158" s="201"/>
      <c r="G158" s="96"/>
      <c r="H158" s="96"/>
      <c r="I158" s="194"/>
    </row>
    <row r="159" spans="3:9" x14ac:dyDescent="0.25">
      <c r="C159" s="193"/>
      <c r="D159" s="201"/>
      <c r="E159" s="201"/>
      <c r="F159" s="201"/>
      <c r="G159" s="96"/>
      <c r="H159" s="96"/>
      <c r="I159" s="194"/>
    </row>
    <row r="160" spans="3:9" x14ac:dyDescent="0.25">
      <c r="C160" s="193"/>
      <c r="D160" s="201"/>
      <c r="E160" s="201"/>
      <c r="F160" s="201"/>
      <c r="G160" s="96"/>
      <c r="H160" s="96"/>
      <c r="I160" s="194"/>
    </row>
    <row r="161" spans="3:9" x14ac:dyDescent="0.25">
      <c r="C161" s="193"/>
      <c r="D161" s="201"/>
      <c r="E161" s="201"/>
      <c r="F161" s="201"/>
      <c r="G161" s="96"/>
      <c r="H161" s="96"/>
      <c r="I161" s="194"/>
    </row>
    <row r="162" spans="3:9" x14ac:dyDescent="0.25">
      <c r="C162" s="193"/>
      <c r="D162" s="201"/>
      <c r="E162" s="201"/>
      <c r="F162" s="201"/>
      <c r="G162" s="96"/>
      <c r="H162" s="96"/>
      <c r="I162" s="194"/>
    </row>
    <row r="163" spans="3:9" x14ac:dyDescent="0.25">
      <c r="C163" s="193"/>
      <c r="D163" s="201"/>
      <c r="E163" s="201"/>
      <c r="F163" s="201"/>
      <c r="G163" s="96"/>
      <c r="H163" s="96"/>
      <c r="I163" s="194"/>
    </row>
    <row r="164" spans="3:9" x14ac:dyDescent="0.25">
      <c r="C164" s="193"/>
      <c r="D164" s="201"/>
      <c r="E164" s="201"/>
      <c r="F164" s="201"/>
      <c r="G164" s="96"/>
      <c r="H164" s="96"/>
      <c r="I164" s="194"/>
    </row>
    <row r="165" spans="3:9" x14ac:dyDescent="0.25">
      <c r="C165" s="193"/>
      <c r="D165" s="201"/>
      <c r="E165" s="201"/>
      <c r="F165" s="201"/>
      <c r="G165" s="96"/>
      <c r="H165" s="96"/>
      <c r="I165" s="194"/>
    </row>
    <row r="166" spans="3:9" x14ac:dyDescent="0.25">
      <c r="C166" s="193"/>
      <c r="D166" s="201"/>
      <c r="E166" s="201"/>
      <c r="F166" s="201"/>
      <c r="G166" s="96"/>
      <c r="H166" s="96"/>
      <c r="I166" s="194"/>
    </row>
    <row r="167" spans="3:9" x14ac:dyDescent="0.25">
      <c r="C167" s="193"/>
      <c r="D167" s="201"/>
      <c r="E167" s="201"/>
      <c r="F167" s="201"/>
      <c r="G167" s="96"/>
      <c r="H167" s="96"/>
      <c r="I167" s="194"/>
    </row>
    <row r="168" spans="3:9" x14ac:dyDescent="0.25">
      <c r="C168" s="193"/>
      <c r="D168" s="201"/>
      <c r="E168" s="201"/>
      <c r="F168" s="201"/>
      <c r="G168" s="96"/>
      <c r="H168" s="96"/>
      <c r="I168" s="194"/>
    </row>
    <row r="169" spans="3:9" x14ac:dyDescent="0.25">
      <c r="C169" s="193"/>
      <c r="D169" s="201"/>
      <c r="E169" s="201"/>
      <c r="F169" s="201"/>
      <c r="G169" s="96"/>
      <c r="H169" s="96"/>
      <c r="I169" s="194"/>
    </row>
    <row r="170" spans="3:9" x14ac:dyDescent="0.25">
      <c r="C170" s="193"/>
      <c r="D170" s="201"/>
      <c r="E170" s="201"/>
      <c r="F170" s="201"/>
      <c r="G170" s="96"/>
      <c r="H170" s="96"/>
      <c r="I170" s="194"/>
    </row>
    <row r="171" spans="3:9" x14ac:dyDescent="0.25">
      <c r="C171" s="193"/>
      <c r="D171" s="201"/>
      <c r="E171" s="201"/>
      <c r="F171" s="201"/>
      <c r="G171" s="96"/>
      <c r="H171" s="96"/>
      <c r="I171" s="194"/>
    </row>
    <row r="172" spans="3:9" x14ac:dyDescent="0.25">
      <c r="C172" s="193"/>
      <c r="D172" s="201"/>
      <c r="E172" s="201"/>
      <c r="F172" s="201"/>
      <c r="G172" s="96"/>
      <c r="H172" s="96"/>
      <c r="I172" s="194"/>
    </row>
    <row r="173" spans="3:9" x14ac:dyDescent="0.25">
      <c r="C173" s="193"/>
      <c r="D173" s="201"/>
      <c r="E173" s="201"/>
      <c r="F173" s="201"/>
      <c r="G173" s="96"/>
      <c r="H173" s="96"/>
      <c r="I173" s="194"/>
    </row>
    <row r="174" spans="3:9" x14ac:dyDescent="0.25">
      <c r="C174" s="193"/>
      <c r="D174" s="201"/>
      <c r="E174" s="201"/>
      <c r="F174" s="201"/>
      <c r="G174" s="96"/>
      <c r="H174" s="96"/>
      <c r="I174" s="194"/>
    </row>
    <row r="175" spans="3:9" x14ac:dyDescent="0.25">
      <c r="C175" s="193"/>
      <c r="D175" s="201"/>
      <c r="E175" s="201"/>
      <c r="F175" s="201"/>
      <c r="G175" s="96"/>
      <c r="H175" s="96"/>
      <c r="I175" s="194"/>
    </row>
    <row r="176" spans="3:9" x14ac:dyDescent="0.25">
      <c r="C176" s="193"/>
      <c r="D176" s="201"/>
      <c r="E176" s="201"/>
      <c r="F176" s="201"/>
      <c r="G176" s="96"/>
      <c r="H176" s="96"/>
      <c r="I176" s="194"/>
    </row>
    <row r="177" spans="3:9" x14ac:dyDescent="0.25">
      <c r="C177" s="193"/>
      <c r="D177" s="201"/>
      <c r="E177" s="201"/>
      <c r="F177" s="201"/>
      <c r="G177" s="96"/>
      <c r="H177" s="96"/>
      <c r="I177" s="194"/>
    </row>
    <row r="178" spans="3:9" x14ac:dyDescent="0.25">
      <c r="C178" s="193"/>
      <c r="D178" s="201"/>
      <c r="E178" s="201"/>
      <c r="F178" s="201"/>
      <c r="G178" s="96"/>
      <c r="H178" s="96"/>
      <c r="I178" s="194"/>
    </row>
    <row r="179" spans="3:9" x14ac:dyDescent="0.25">
      <c r="C179" s="193"/>
      <c r="D179" s="201"/>
      <c r="E179" s="201"/>
      <c r="F179" s="201"/>
      <c r="G179" s="96"/>
      <c r="H179" s="96"/>
      <c r="I179" s="194"/>
    </row>
    <row r="180" spans="3:9" x14ac:dyDescent="0.25">
      <c r="C180" s="193"/>
      <c r="D180" s="201"/>
      <c r="E180" s="201"/>
      <c r="F180" s="201"/>
      <c r="G180" s="96"/>
      <c r="H180" s="96"/>
      <c r="I180" s="194"/>
    </row>
    <row r="181" spans="3:9" x14ac:dyDescent="0.25">
      <c r="C181" s="193"/>
      <c r="D181" s="201"/>
      <c r="E181" s="201"/>
      <c r="F181" s="201"/>
      <c r="G181" s="96"/>
      <c r="H181" s="96"/>
      <c r="I181" s="194"/>
    </row>
    <row r="182" spans="3:9" x14ac:dyDescent="0.25">
      <c r="C182" s="193"/>
      <c r="D182" s="201"/>
      <c r="E182" s="201"/>
      <c r="F182" s="201"/>
      <c r="G182" s="96"/>
      <c r="H182" s="96"/>
      <c r="I182" s="194"/>
    </row>
    <row r="183" spans="3:9" x14ac:dyDescent="0.25">
      <c r="C183" s="193"/>
      <c r="D183" s="201"/>
      <c r="E183" s="201"/>
      <c r="F183" s="201"/>
      <c r="G183" s="96"/>
      <c r="H183" s="96"/>
      <c r="I183" s="194"/>
    </row>
    <row r="184" spans="3:9" x14ac:dyDescent="0.25">
      <c r="C184" s="193"/>
      <c r="D184" s="201"/>
      <c r="E184" s="201"/>
      <c r="F184" s="201"/>
      <c r="G184" s="96"/>
      <c r="H184" s="96"/>
      <c r="I184" s="194"/>
    </row>
    <row r="185" spans="3:9" x14ac:dyDescent="0.25">
      <c r="C185" s="193"/>
      <c r="D185" s="201"/>
      <c r="E185" s="201"/>
      <c r="F185" s="201"/>
      <c r="G185" s="96"/>
      <c r="H185" s="96"/>
      <c r="I185" s="194"/>
    </row>
    <row r="186" spans="3:9" x14ac:dyDescent="0.25">
      <c r="C186" s="193"/>
      <c r="D186" s="201"/>
      <c r="E186" s="201"/>
      <c r="F186" s="201"/>
      <c r="G186" s="96"/>
      <c r="H186" s="96"/>
      <c r="I186" s="194"/>
    </row>
    <row r="187" spans="3:9" x14ac:dyDescent="0.25">
      <c r="C187" s="193"/>
      <c r="D187" s="201"/>
      <c r="E187" s="201"/>
      <c r="F187" s="201"/>
      <c r="G187" s="96"/>
      <c r="H187" s="96"/>
      <c r="I187" s="194"/>
    </row>
    <row r="188" spans="3:9" x14ac:dyDescent="0.25">
      <c r="C188" s="193"/>
      <c r="D188" s="201"/>
      <c r="E188" s="201"/>
      <c r="F188" s="201"/>
      <c r="G188" s="96"/>
      <c r="H188" s="96"/>
      <c r="I188" s="194"/>
    </row>
    <row r="189" spans="3:9" x14ac:dyDescent="0.25">
      <c r="C189" s="193"/>
      <c r="D189" s="201"/>
      <c r="E189" s="201"/>
      <c r="F189" s="201"/>
      <c r="G189" s="96"/>
      <c r="H189" s="96"/>
      <c r="I189" s="194"/>
    </row>
    <row r="190" spans="3:9" x14ac:dyDescent="0.25">
      <c r="C190" s="193"/>
      <c r="D190" s="201"/>
      <c r="E190" s="201"/>
      <c r="F190" s="201"/>
      <c r="G190" s="96"/>
      <c r="H190" s="96"/>
      <c r="I190" s="194"/>
    </row>
    <row r="191" spans="3:9" x14ac:dyDescent="0.25">
      <c r="C191" s="193"/>
      <c r="D191" s="201"/>
      <c r="E191" s="201"/>
      <c r="F191" s="201"/>
      <c r="G191" s="96"/>
      <c r="H191" s="96"/>
      <c r="I191" s="194"/>
    </row>
    <row r="192" spans="3:9" x14ac:dyDescent="0.25">
      <c r="C192" s="193"/>
      <c r="D192" s="201"/>
      <c r="E192" s="201"/>
      <c r="F192" s="201"/>
      <c r="G192" s="96"/>
      <c r="H192" s="96"/>
      <c r="I192" s="194"/>
    </row>
    <row r="193" spans="3:9" x14ac:dyDescent="0.25">
      <c r="C193" s="193"/>
      <c r="D193" s="201"/>
      <c r="E193" s="201"/>
      <c r="F193" s="201"/>
      <c r="G193" s="96"/>
      <c r="H193" s="96"/>
      <c r="I193" s="194"/>
    </row>
    <row r="194" spans="3:9" x14ac:dyDescent="0.25">
      <c r="C194" s="193"/>
      <c r="D194" s="201"/>
      <c r="E194" s="201"/>
      <c r="F194" s="201"/>
      <c r="G194" s="96"/>
      <c r="H194" s="96"/>
      <c r="I194" s="194"/>
    </row>
    <row r="195" spans="3:9" x14ac:dyDescent="0.25">
      <c r="C195" s="193"/>
      <c r="D195" s="201"/>
      <c r="E195" s="201"/>
      <c r="F195" s="201"/>
      <c r="G195" s="96"/>
      <c r="H195" s="96"/>
      <c r="I195" s="194"/>
    </row>
    <row r="196" spans="3:9" x14ac:dyDescent="0.25">
      <c r="C196" s="193"/>
      <c r="D196" s="201"/>
      <c r="E196" s="201"/>
      <c r="F196" s="201"/>
      <c r="G196" s="96"/>
      <c r="H196" s="96"/>
      <c r="I196" s="194"/>
    </row>
    <row r="197" spans="3:9" x14ac:dyDescent="0.25">
      <c r="C197" s="193"/>
      <c r="D197" s="201"/>
      <c r="E197" s="201"/>
      <c r="F197" s="201"/>
      <c r="G197" s="96"/>
      <c r="H197" s="96"/>
      <c r="I197" s="194"/>
    </row>
    <row r="198" spans="3:9" x14ac:dyDescent="0.25">
      <c r="C198" s="193"/>
      <c r="D198" s="201"/>
      <c r="E198" s="201"/>
      <c r="F198" s="201"/>
      <c r="G198" s="96"/>
      <c r="H198" s="96"/>
      <c r="I198" s="194"/>
    </row>
    <row r="199" spans="3:9" x14ac:dyDescent="0.25">
      <c r="C199" s="193"/>
      <c r="D199" s="201"/>
      <c r="E199" s="201"/>
      <c r="F199" s="201"/>
      <c r="G199" s="96"/>
      <c r="H199" s="96"/>
      <c r="I199" s="194"/>
    </row>
    <row r="200" spans="3:9" x14ac:dyDescent="0.25">
      <c r="C200" s="193"/>
      <c r="D200" s="201"/>
      <c r="E200" s="201"/>
      <c r="F200" s="201"/>
      <c r="G200" s="96"/>
      <c r="H200" s="96"/>
      <c r="I200" s="194"/>
    </row>
    <row r="201" spans="3:9" x14ac:dyDescent="0.25">
      <c r="C201" s="193"/>
      <c r="D201" s="201"/>
      <c r="E201" s="201"/>
      <c r="F201" s="201"/>
      <c r="G201" s="96"/>
      <c r="H201" s="96"/>
      <c r="I201" s="194"/>
    </row>
    <row r="202" spans="3:9" x14ac:dyDescent="0.25">
      <c r="C202" s="193"/>
      <c r="D202" s="201"/>
      <c r="E202" s="201"/>
      <c r="F202" s="201"/>
      <c r="G202" s="96"/>
      <c r="H202" s="96"/>
      <c r="I202" s="194"/>
    </row>
    <row r="203" spans="3:9" x14ac:dyDescent="0.25">
      <c r="C203" s="193"/>
      <c r="D203" s="201"/>
      <c r="E203" s="201"/>
      <c r="F203" s="201"/>
      <c r="G203" s="96"/>
      <c r="H203" s="96"/>
      <c r="I203" s="194"/>
    </row>
    <row r="204" spans="3:9" x14ac:dyDescent="0.25">
      <c r="C204" s="193"/>
      <c r="D204" s="201"/>
      <c r="E204" s="201"/>
      <c r="F204" s="201"/>
      <c r="G204" s="96"/>
      <c r="H204" s="96"/>
      <c r="I204" s="194"/>
    </row>
    <row r="205" spans="3:9" x14ac:dyDescent="0.25">
      <c r="C205" s="193"/>
      <c r="D205" s="201"/>
      <c r="E205" s="201"/>
      <c r="F205" s="201"/>
      <c r="G205" s="96"/>
      <c r="H205" s="96"/>
      <c r="I205" s="194"/>
    </row>
    <row r="206" spans="3:9" x14ac:dyDescent="0.25">
      <c r="C206" s="193"/>
      <c r="D206" s="201"/>
      <c r="E206" s="201"/>
      <c r="F206" s="201"/>
      <c r="G206" s="96"/>
      <c r="H206" s="96"/>
      <c r="I206" s="194"/>
    </row>
    <row r="207" spans="3:9" x14ac:dyDescent="0.25">
      <c r="C207" s="193"/>
      <c r="D207" s="201"/>
      <c r="E207" s="201"/>
      <c r="F207" s="201"/>
      <c r="G207" s="96"/>
      <c r="H207" s="96"/>
      <c r="I207" s="194"/>
    </row>
    <row r="208" spans="3:9" x14ac:dyDescent="0.25">
      <c r="C208" s="193"/>
      <c r="D208" s="201"/>
      <c r="E208" s="201"/>
      <c r="F208" s="201"/>
      <c r="G208" s="96"/>
      <c r="H208" s="96"/>
      <c r="I208" s="194"/>
    </row>
    <row r="209" spans="3:9" x14ac:dyDescent="0.25">
      <c r="C209" s="193"/>
      <c r="D209" s="201"/>
      <c r="E209" s="201"/>
      <c r="F209" s="201"/>
      <c r="G209" s="96"/>
      <c r="H209" s="96"/>
      <c r="I209" s="194"/>
    </row>
    <row r="210" spans="3:9" x14ac:dyDescent="0.25">
      <c r="C210" s="193"/>
      <c r="D210" s="201"/>
      <c r="E210" s="201"/>
      <c r="F210" s="201"/>
      <c r="G210" s="96"/>
      <c r="H210" s="96"/>
      <c r="I210" s="194"/>
    </row>
    <row r="211" spans="3:9" x14ac:dyDescent="0.25">
      <c r="C211" s="193"/>
      <c r="D211" s="201"/>
      <c r="E211" s="201"/>
      <c r="F211" s="201"/>
      <c r="G211" s="96"/>
      <c r="H211" s="96"/>
      <c r="I211" s="194"/>
    </row>
    <row r="212" spans="3:9" x14ac:dyDescent="0.25">
      <c r="C212" s="193"/>
      <c r="D212" s="201"/>
      <c r="E212" s="201"/>
      <c r="F212" s="201"/>
      <c r="G212" s="96"/>
      <c r="H212" s="96"/>
      <c r="I212" s="194"/>
    </row>
    <row r="213" spans="3:9" x14ac:dyDescent="0.25">
      <c r="C213" s="193"/>
      <c r="D213" s="201"/>
      <c r="E213" s="201"/>
      <c r="F213" s="201"/>
      <c r="G213" s="96"/>
      <c r="H213" s="96"/>
      <c r="I213" s="194"/>
    </row>
    <row r="214" spans="3:9" x14ac:dyDescent="0.25">
      <c r="C214" s="193"/>
      <c r="D214" s="201"/>
      <c r="E214" s="201"/>
      <c r="F214" s="201"/>
      <c r="G214" s="96"/>
      <c r="H214" s="96"/>
      <c r="I214" s="194"/>
    </row>
    <row r="215" spans="3:9" x14ac:dyDescent="0.25">
      <c r="C215" s="193"/>
      <c r="D215" s="201"/>
      <c r="E215" s="201"/>
      <c r="F215" s="201"/>
      <c r="G215" s="96"/>
      <c r="H215" s="96"/>
      <c r="I215" s="194"/>
    </row>
    <row r="216" spans="3:9" x14ac:dyDescent="0.25">
      <c r="C216" s="193"/>
      <c r="D216" s="201"/>
      <c r="E216" s="201"/>
      <c r="F216" s="201"/>
      <c r="G216" s="96"/>
      <c r="H216" s="96"/>
      <c r="I216" s="194"/>
    </row>
    <row r="217" spans="3:9" x14ac:dyDescent="0.25">
      <c r="C217" s="193"/>
      <c r="D217" s="201"/>
      <c r="E217" s="201"/>
      <c r="F217" s="201"/>
      <c r="G217" s="96"/>
      <c r="H217" s="96"/>
      <c r="I217" s="194"/>
    </row>
    <row r="218" spans="3:9" x14ac:dyDescent="0.25">
      <c r="C218" s="193"/>
      <c r="D218" s="201"/>
      <c r="E218" s="201"/>
      <c r="F218" s="201"/>
      <c r="G218" s="96"/>
      <c r="H218" s="96"/>
      <c r="I218" s="194"/>
    </row>
    <row r="219" spans="3:9" x14ac:dyDescent="0.25">
      <c r="C219" s="193"/>
      <c r="D219" s="201"/>
      <c r="E219" s="201"/>
      <c r="F219" s="201"/>
      <c r="G219" s="96"/>
      <c r="H219" s="96"/>
      <c r="I219" s="194"/>
    </row>
    <row r="220" spans="3:9" x14ac:dyDescent="0.25">
      <c r="C220" s="193"/>
      <c r="D220" s="201"/>
      <c r="E220" s="201"/>
      <c r="F220" s="201"/>
      <c r="G220" s="96"/>
      <c r="H220" s="96"/>
      <c r="I220" s="194"/>
    </row>
    <row r="221" spans="3:9" x14ac:dyDescent="0.25">
      <c r="C221" s="193"/>
      <c r="D221" s="201"/>
      <c r="E221" s="201"/>
      <c r="F221" s="201"/>
      <c r="G221" s="96"/>
      <c r="H221" s="96"/>
      <c r="I221" s="194"/>
    </row>
    <row r="222" spans="3:9" x14ac:dyDescent="0.25">
      <c r="C222" s="193"/>
      <c r="D222" s="201"/>
      <c r="E222" s="201"/>
      <c r="F222" s="201"/>
      <c r="G222" s="96"/>
      <c r="H222" s="96"/>
      <c r="I222" s="194"/>
    </row>
    <row r="223" spans="3:9" x14ac:dyDescent="0.25">
      <c r="C223" s="193"/>
      <c r="D223" s="201"/>
      <c r="E223" s="201"/>
      <c r="F223" s="201"/>
      <c r="G223" s="96"/>
      <c r="H223" s="96"/>
      <c r="I223" s="194"/>
    </row>
    <row r="224" spans="3:9" x14ac:dyDescent="0.25">
      <c r="C224" s="193"/>
      <c r="D224" s="201"/>
      <c r="E224" s="201"/>
      <c r="F224" s="201"/>
      <c r="G224" s="96"/>
      <c r="H224" s="96"/>
      <c r="I224" s="194"/>
    </row>
    <row r="225" spans="3:9" x14ac:dyDescent="0.25">
      <c r="C225" s="193"/>
      <c r="D225" s="201"/>
      <c r="E225" s="201"/>
      <c r="F225" s="201"/>
      <c r="G225" s="96"/>
      <c r="H225" s="96"/>
      <c r="I225" s="194"/>
    </row>
    <row r="226" spans="3:9" x14ac:dyDescent="0.25">
      <c r="C226" s="193"/>
      <c r="D226" s="201"/>
      <c r="E226" s="201"/>
      <c r="F226" s="201"/>
      <c r="G226" s="96"/>
      <c r="H226" s="96"/>
      <c r="I226" s="194"/>
    </row>
    <row r="227" spans="3:9" x14ac:dyDescent="0.25">
      <c r="C227" s="193"/>
      <c r="D227" s="201"/>
      <c r="E227" s="201"/>
      <c r="F227" s="201"/>
      <c r="G227" s="96"/>
      <c r="H227" s="96"/>
      <c r="I227" s="194"/>
    </row>
    <row r="228" spans="3:9" x14ac:dyDescent="0.25">
      <c r="C228" s="193"/>
      <c r="D228" s="201"/>
      <c r="E228" s="201"/>
      <c r="F228" s="201"/>
      <c r="G228" s="96"/>
      <c r="H228" s="96"/>
      <c r="I228" s="194"/>
    </row>
    <row r="229" spans="3:9" x14ac:dyDescent="0.25">
      <c r="C229" s="193"/>
      <c r="D229" s="201"/>
      <c r="E229" s="201"/>
      <c r="F229" s="201"/>
      <c r="G229" s="96"/>
      <c r="H229" s="96"/>
      <c r="I229" s="194"/>
    </row>
    <row r="230" spans="3:9" x14ac:dyDescent="0.25">
      <c r="C230" s="193"/>
      <c r="D230" s="201"/>
      <c r="E230" s="201"/>
      <c r="F230" s="201"/>
      <c r="G230" s="96"/>
      <c r="H230" s="96"/>
      <c r="I230" s="194"/>
    </row>
    <row r="231" spans="3:9" x14ac:dyDescent="0.25">
      <c r="C231" s="193"/>
      <c r="D231" s="201"/>
      <c r="E231" s="201"/>
      <c r="F231" s="201"/>
      <c r="G231" s="96"/>
      <c r="H231" s="96"/>
      <c r="I231" s="194"/>
    </row>
    <row r="232" spans="3:9" x14ac:dyDescent="0.25">
      <c r="C232" s="193"/>
      <c r="D232" s="201"/>
      <c r="E232" s="201"/>
      <c r="F232" s="201"/>
      <c r="G232" s="96"/>
      <c r="H232" s="96"/>
      <c r="I232" s="194"/>
    </row>
    <row r="233" spans="3:9" x14ac:dyDescent="0.25">
      <c r="C233" s="193"/>
      <c r="D233" s="201"/>
      <c r="E233" s="201"/>
      <c r="F233" s="201"/>
      <c r="G233" s="96"/>
      <c r="H233" s="96"/>
      <c r="I233" s="194"/>
    </row>
    <row r="234" spans="3:9" x14ac:dyDescent="0.25">
      <c r="C234" s="193"/>
      <c r="D234" s="201"/>
      <c r="E234" s="201"/>
      <c r="F234" s="201"/>
      <c r="G234" s="96"/>
      <c r="H234" s="96"/>
      <c r="I234" s="194"/>
    </row>
    <row r="235" spans="3:9" x14ac:dyDescent="0.25">
      <c r="C235" s="193"/>
      <c r="D235" s="201"/>
      <c r="E235" s="201"/>
      <c r="F235" s="201"/>
      <c r="G235" s="96"/>
      <c r="H235" s="96"/>
      <c r="I235" s="194"/>
    </row>
    <row r="236" spans="3:9" x14ac:dyDescent="0.25">
      <c r="C236" s="193"/>
      <c r="D236" s="201"/>
      <c r="E236" s="201"/>
      <c r="F236" s="201"/>
      <c r="G236" s="96"/>
      <c r="H236" s="96"/>
      <c r="I236" s="194"/>
    </row>
    <row r="237" spans="3:9" x14ac:dyDescent="0.25">
      <c r="C237" s="193"/>
      <c r="D237" s="201"/>
      <c r="E237" s="201"/>
      <c r="F237" s="201"/>
      <c r="G237" s="96"/>
      <c r="H237" s="96"/>
      <c r="I237" s="194"/>
    </row>
    <row r="238" spans="3:9" x14ac:dyDescent="0.25">
      <c r="C238" s="193"/>
      <c r="D238" s="201"/>
      <c r="E238" s="201"/>
      <c r="F238" s="201"/>
      <c r="G238" s="96"/>
      <c r="H238" s="96"/>
      <c r="I238" s="194"/>
    </row>
    <row r="239" spans="3:9" x14ac:dyDescent="0.25">
      <c r="C239" s="193"/>
      <c r="D239" s="201"/>
      <c r="E239" s="201"/>
      <c r="F239" s="201"/>
      <c r="G239" s="96"/>
      <c r="H239" s="96"/>
      <c r="I239" s="194"/>
    </row>
    <row r="240" spans="3:9" x14ac:dyDescent="0.25">
      <c r="C240" s="193"/>
      <c r="D240" s="201"/>
      <c r="E240" s="201"/>
      <c r="F240" s="201"/>
      <c r="G240" s="96"/>
      <c r="H240" s="96"/>
      <c r="I240" s="194"/>
    </row>
    <row r="241" spans="3:9" x14ac:dyDescent="0.25">
      <c r="C241" s="193"/>
      <c r="D241" s="201"/>
      <c r="E241" s="201"/>
      <c r="F241" s="201"/>
      <c r="G241" s="96"/>
      <c r="H241" s="96"/>
      <c r="I241" s="194"/>
    </row>
    <row r="242" spans="3:9" x14ac:dyDescent="0.25">
      <c r="C242" s="193"/>
      <c r="D242" s="201"/>
      <c r="E242" s="201"/>
      <c r="F242" s="201"/>
      <c r="G242" s="96"/>
      <c r="H242" s="96"/>
      <c r="I242" s="194"/>
    </row>
    <row r="243" spans="3:9" x14ac:dyDescent="0.25">
      <c r="C243" s="193"/>
      <c r="D243" s="201"/>
      <c r="E243" s="201"/>
      <c r="F243" s="201"/>
      <c r="G243" s="96"/>
      <c r="H243" s="96"/>
      <c r="I243" s="194"/>
    </row>
    <row r="244" spans="3:9" x14ac:dyDescent="0.25">
      <c r="C244" s="193"/>
      <c r="D244" s="201"/>
      <c r="E244" s="201"/>
      <c r="F244" s="201"/>
      <c r="G244" s="96"/>
      <c r="H244" s="96"/>
      <c r="I244" s="194"/>
    </row>
    <row r="245" spans="3:9" x14ac:dyDescent="0.25">
      <c r="C245" s="193"/>
      <c r="D245" s="201"/>
      <c r="E245" s="201"/>
      <c r="F245" s="201"/>
      <c r="G245" s="96"/>
      <c r="H245" s="96"/>
      <c r="I245" s="194"/>
    </row>
    <row r="246" spans="3:9" x14ac:dyDescent="0.25">
      <c r="C246" s="193"/>
      <c r="D246" s="201"/>
      <c r="E246" s="201"/>
      <c r="F246" s="201"/>
      <c r="G246" s="96"/>
      <c r="H246" s="96"/>
      <c r="I246" s="194"/>
    </row>
    <row r="247" spans="3:9" x14ac:dyDescent="0.25">
      <c r="C247" s="193"/>
      <c r="D247" s="201"/>
      <c r="E247" s="201"/>
      <c r="F247" s="201"/>
      <c r="G247" s="96"/>
      <c r="H247" s="96"/>
      <c r="I247" s="194"/>
    </row>
    <row r="248" spans="3:9" x14ac:dyDescent="0.25">
      <c r="C248" s="193"/>
      <c r="D248" s="201"/>
      <c r="E248" s="201"/>
      <c r="F248" s="201"/>
      <c r="G248" s="96"/>
      <c r="H248" s="96"/>
      <c r="I248" s="194"/>
    </row>
    <row r="249" spans="3:9" x14ac:dyDescent="0.25">
      <c r="C249" s="193"/>
      <c r="D249" s="201"/>
      <c r="E249" s="201"/>
      <c r="F249" s="201"/>
      <c r="G249" s="96"/>
      <c r="H249" s="96"/>
      <c r="I249" s="194"/>
    </row>
    <row r="250" spans="3:9" x14ac:dyDescent="0.25">
      <c r="C250" s="193"/>
      <c r="D250" s="201"/>
      <c r="E250" s="201"/>
      <c r="F250" s="201"/>
      <c r="G250" s="96"/>
      <c r="H250" s="96"/>
      <c r="I250" s="194"/>
    </row>
    <row r="251" spans="3:9" x14ac:dyDescent="0.25">
      <c r="C251" s="193"/>
      <c r="D251" s="201"/>
      <c r="E251" s="201"/>
      <c r="F251" s="201"/>
      <c r="G251" s="96"/>
      <c r="H251" s="96"/>
      <c r="I251" s="194"/>
    </row>
    <row r="252" spans="3:9" x14ac:dyDescent="0.25">
      <c r="C252" s="193"/>
      <c r="D252" s="201"/>
      <c r="E252" s="201"/>
      <c r="F252" s="201"/>
      <c r="G252" s="96"/>
      <c r="H252" s="96"/>
      <c r="I252" s="194"/>
    </row>
    <row r="253" spans="3:9" x14ac:dyDescent="0.25">
      <c r="C253" s="193"/>
      <c r="D253" s="201"/>
      <c r="E253" s="201"/>
      <c r="F253" s="201"/>
      <c r="G253" s="96"/>
      <c r="H253" s="96"/>
      <c r="I253" s="194"/>
    </row>
    <row r="254" spans="3:9" x14ac:dyDescent="0.25">
      <c r="C254" s="193"/>
      <c r="D254" s="201"/>
      <c r="E254" s="201"/>
      <c r="F254" s="201"/>
      <c r="G254" s="96"/>
      <c r="H254" s="96"/>
      <c r="I254" s="194"/>
    </row>
    <row r="255" spans="3:9" x14ac:dyDescent="0.25">
      <c r="C255" s="193"/>
      <c r="D255" s="201"/>
      <c r="E255" s="201"/>
      <c r="F255" s="201"/>
      <c r="G255" s="96"/>
      <c r="H255" s="96"/>
      <c r="I255" s="194"/>
    </row>
    <row r="256" spans="3:9" x14ac:dyDescent="0.25">
      <c r="C256" s="193"/>
      <c r="D256" s="201"/>
      <c r="E256" s="201"/>
      <c r="F256" s="201"/>
      <c r="G256" s="96"/>
      <c r="H256" s="96"/>
      <c r="I256" s="194"/>
    </row>
    <row r="257" spans="3:9" x14ac:dyDescent="0.25">
      <c r="C257" s="193"/>
      <c r="D257" s="201"/>
      <c r="E257" s="201"/>
      <c r="F257" s="201"/>
      <c r="G257" s="96"/>
      <c r="H257" s="96"/>
      <c r="I257" s="194"/>
    </row>
    <row r="258" spans="3:9" x14ac:dyDescent="0.25">
      <c r="C258" s="193"/>
      <c r="D258" s="201"/>
      <c r="E258" s="201"/>
      <c r="F258" s="201"/>
      <c r="G258" s="96"/>
      <c r="H258" s="96"/>
      <c r="I258" s="194">
        <v>0</v>
      </c>
    </row>
    <row r="259" spans="3:9" x14ac:dyDescent="0.25">
      <c r="C259" s="193"/>
      <c r="D259" s="201"/>
      <c r="E259" s="201"/>
      <c r="F259" s="201"/>
      <c r="G259" s="96"/>
      <c r="H259" s="96"/>
      <c r="I259" s="194">
        <v>0</v>
      </c>
    </row>
    <row r="260" spans="3:9" x14ac:dyDescent="0.25">
      <c r="C260" s="193"/>
      <c r="D260" s="201"/>
      <c r="E260" s="201"/>
      <c r="F260" s="201"/>
      <c r="G260" s="96"/>
      <c r="H260" s="96"/>
      <c r="I260" s="194">
        <v>0</v>
      </c>
    </row>
    <row r="261" spans="3:9" x14ac:dyDescent="0.25">
      <c r="C261" s="193"/>
      <c r="D261" s="201"/>
      <c r="E261" s="201"/>
      <c r="F261" s="201"/>
      <c r="G261" s="96"/>
      <c r="H261" s="96"/>
      <c r="I261" s="194">
        <v>0</v>
      </c>
    </row>
    <row r="262" spans="3:9" x14ac:dyDescent="0.25">
      <c r="C262" s="195"/>
      <c r="D262" s="202"/>
      <c r="E262" s="202"/>
      <c r="F262" s="202"/>
      <c r="G262" s="196"/>
      <c r="H262" s="196"/>
      <c r="I262" s="197">
        <v>0</v>
      </c>
    </row>
  </sheetData>
  <sheetProtection sheet="1" objects="1" scenarios="1" sort="0" autoFilter="0"/>
  <phoneticPr fontId="28" type="noConversion"/>
  <conditionalFormatting sqref="C24:I4200">
    <cfRule type="expression" dxfId="56" priority="1">
      <formula>$C24&lt;&gt;""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9" r:id="rId3" name="Button 9">
              <controlPr defaultSize="0" print="0" autoFill="0" autoPict="0" macro="[0]!OpenForm_R_vacationDaysForDay_pickDate">
                <anchor moveWithCells="1">
                  <from>
                    <xdr:col>4</xdr:col>
                    <xdr:colOff>209550</xdr:colOff>
                    <xdr:row>10</xdr:row>
                    <xdr:rowOff>161925</xdr:rowOff>
                  </from>
                  <to>
                    <xdr:col>5</xdr:col>
                    <xdr:colOff>657225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4" name="Button 10">
              <controlPr defaultSize="0" print="0" autoFill="0" autoPict="0" macro="[0]!Open_Z_vacationDaysForDay_doc">
                <anchor moveWithCells="1">
                  <from>
                    <xdr:col>7</xdr:col>
                    <xdr:colOff>9525</xdr:colOff>
                    <xdr:row>15</xdr:row>
                    <xdr:rowOff>47625</xdr:rowOff>
                  </from>
                  <to>
                    <xdr:col>7</xdr:col>
                    <xdr:colOff>933450</xdr:colOff>
                    <xdr:row>17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F2BC5-23E2-470A-82DB-1D97A7A7F0BB}">
  <sheetPr codeName="Arkusz17">
    <tabColor theme="9"/>
  </sheetPr>
  <dimension ref="A1:X799"/>
  <sheetViews>
    <sheetView showGridLines="0" workbookViewId="0">
      <selection activeCell="K17" sqref="K17"/>
    </sheetView>
  </sheetViews>
  <sheetFormatPr defaultColWidth="0" defaultRowHeight="15" x14ac:dyDescent="0.25"/>
  <cols>
    <col min="1" max="1" width="9.140625" customWidth="1"/>
    <col min="2" max="2" width="8.85546875" customWidth="1"/>
    <col min="3" max="3" width="9.140625" style="177" customWidth="1"/>
    <col min="4" max="4" width="34" style="177" customWidth="1"/>
    <col min="5" max="5" width="15.140625" style="177" customWidth="1"/>
    <col min="6" max="6" width="12.140625" style="177" customWidth="1"/>
    <col min="7" max="7" width="12.42578125" style="177" customWidth="1"/>
    <col min="8" max="9" width="12.5703125" style="177" customWidth="1"/>
    <col min="10" max="10" width="12.85546875" style="177" customWidth="1"/>
    <col min="11" max="11" width="16.42578125" style="177" customWidth="1"/>
    <col min="12" max="12" width="42.42578125" customWidth="1"/>
    <col min="13" max="16" width="9.140625" customWidth="1"/>
    <col min="17" max="24" width="0" hidden="1" customWidth="1"/>
    <col min="25" max="16384" width="9.140625" hidden="1"/>
  </cols>
  <sheetData>
    <row r="1" spans="1:24" x14ac:dyDescent="0.25">
      <c r="A1" s="1"/>
      <c r="B1" s="1"/>
      <c r="C1" s="1"/>
      <c r="D1" s="1"/>
      <c r="E1" s="1"/>
      <c r="F1" s="1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</row>
    <row r="2" spans="1:24" ht="26.25" x14ac:dyDescent="0.4">
      <c r="A2" s="1"/>
      <c r="B2" s="1"/>
      <c r="C2" s="1"/>
      <c r="D2" s="3" t="s">
        <v>175</v>
      </c>
      <c r="E2" s="1"/>
      <c r="F2" s="1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</row>
    <row r="3" spans="1:24" ht="18.75" x14ac:dyDescent="0.3">
      <c r="A3" s="1"/>
      <c r="B3" s="1"/>
      <c r="C3" s="1"/>
      <c r="D3" s="91" t="s">
        <v>96</v>
      </c>
      <c r="E3" s="75"/>
      <c r="F3" s="75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</row>
    <row r="4" spans="1:24" ht="23.25" x14ac:dyDescent="0.35">
      <c r="A4" s="1"/>
      <c r="B4" s="1"/>
      <c r="C4" s="1"/>
      <c r="D4" s="1"/>
      <c r="E4" s="76"/>
      <c r="F4" s="76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</row>
    <row r="5" spans="1:24" x14ac:dyDescent="0.25">
      <c r="A5" s="1"/>
      <c r="B5" s="1"/>
      <c r="C5" s="1"/>
      <c r="D5" s="1"/>
      <c r="E5" s="1"/>
      <c r="F5" s="1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</row>
    <row r="6" spans="1:24" ht="15.75" thickBot="1" x14ac:dyDescent="0.3">
      <c r="A6" s="2"/>
      <c r="B6" s="2"/>
      <c r="C6" s="2"/>
      <c r="D6" s="2"/>
      <c r="E6" s="2"/>
      <c r="F6" s="2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</row>
    <row r="7" spans="1:24" x14ac:dyDescent="0.25">
      <c r="C7"/>
      <c r="D7"/>
      <c r="E7"/>
      <c r="F7"/>
      <c r="G7"/>
      <c r="H7"/>
      <c r="I7"/>
      <c r="J7"/>
      <c r="K7"/>
    </row>
    <row r="8" spans="1:24" x14ac:dyDescent="0.25">
      <c r="C8"/>
      <c r="D8"/>
      <c r="E8"/>
      <c r="F8"/>
      <c r="G8"/>
      <c r="H8"/>
      <c r="I8"/>
      <c r="J8"/>
      <c r="K8"/>
    </row>
    <row r="9" spans="1:24" x14ac:dyDescent="0.25">
      <c r="C9"/>
      <c r="D9"/>
      <c r="E9" s="93"/>
      <c r="F9" s="94"/>
      <c r="G9" s="94"/>
      <c r="H9" s="94"/>
      <c r="I9" s="95"/>
      <c r="J9"/>
      <c r="K9"/>
    </row>
    <row r="10" spans="1:24" x14ac:dyDescent="0.25">
      <c r="C10"/>
      <c r="D10" s="172"/>
      <c r="E10" s="181" t="s">
        <v>182</v>
      </c>
      <c r="F10" s="179"/>
      <c r="G10" s="8"/>
      <c r="H10" s="183"/>
      <c r="I10" s="182"/>
      <c r="J10"/>
      <c r="K10"/>
    </row>
    <row r="11" spans="1:24" x14ac:dyDescent="0.25">
      <c r="C11"/>
      <c r="D11" s="172"/>
      <c r="E11" s="181"/>
      <c r="F11" s="180"/>
      <c r="G11" s="180"/>
      <c r="H11" s="180"/>
      <c r="I11" s="78"/>
      <c r="J11"/>
      <c r="K11"/>
    </row>
    <row r="12" spans="1:24" x14ac:dyDescent="0.25">
      <c r="C12"/>
      <c r="D12" s="172"/>
      <c r="E12" s="79" t="s">
        <v>179</v>
      </c>
      <c r="F12" s="349">
        <v>44930</v>
      </c>
      <c r="G12" s="350"/>
      <c r="H12" s="350"/>
      <c r="I12" s="78"/>
      <c r="J12"/>
      <c r="K12"/>
    </row>
    <row r="13" spans="1:24" x14ac:dyDescent="0.25">
      <c r="C13"/>
      <c r="D13"/>
      <c r="E13" s="178" t="s">
        <v>180</v>
      </c>
      <c r="F13" s="349">
        <v>44940</v>
      </c>
      <c r="G13" s="350"/>
      <c r="H13" s="350"/>
      <c r="I13" s="78"/>
      <c r="J13"/>
      <c r="K13"/>
    </row>
    <row r="14" spans="1:24" x14ac:dyDescent="0.25">
      <c r="C14"/>
      <c r="D14" s="172"/>
      <c r="E14" s="180"/>
      <c r="F14" s="180"/>
      <c r="G14" s="180"/>
      <c r="H14" s="180"/>
      <c r="I14" s="78"/>
      <c r="J14"/>
      <c r="K14"/>
    </row>
    <row r="15" spans="1:24" x14ac:dyDescent="0.25">
      <c r="C15"/>
      <c r="D15" s="172"/>
      <c r="E15" s="180"/>
      <c r="F15" s="180"/>
      <c r="G15" s="180"/>
      <c r="H15" s="180"/>
      <c r="I15" s="78"/>
      <c r="J15"/>
      <c r="K15"/>
    </row>
    <row r="16" spans="1:24" x14ac:dyDescent="0.25">
      <c r="C16"/>
      <c r="D16"/>
      <c r="E16" s="77"/>
      <c r="F16" s="8"/>
      <c r="G16" s="8"/>
      <c r="H16" s="8"/>
      <c r="I16" s="78"/>
      <c r="J16"/>
      <c r="K16"/>
    </row>
    <row r="17" spans="3:12" x14ac:dyDescent="0.25">
      <c r="C17"/>
      <c r="D17"/>
      <c r="E17" s="80"/>
      <c r="F17" s="81"/>
      <c r="G17" s="81"/>
      <c r="H17" s="81"/>
      <c r="I17" s="82"/>
      <c r="J17"/>
      <c r="K17"/>
    </row>
    <row r="18" spans="3:12" x14ac:dyDescent="0.25">
      <c r="C18"/>
      <c r="D18"/>
      <c r="E18"/>
      <c r="F18"/>
      <c r="G18"/>
      <c r="H18"/>
      <c r="I18"/>
      <c r="J18"/>
      <c r="K18"/>
    </row>
    <row r="19" spans="3:12" x14ac:dyDescent="0.25">
      <c r="C19"/>
      <c r="D19"/>
      <c r="E19"/>
      <c r="F19"/>
      <c r="G19"/>
      <c r="H19"/>
      <c r="I19"/>
      <c r="J19"/>
      <c r="K19"/>
    </row>
    <row r="20" spans="3:12" x14ac:dyDescent="0.25">
      <c r="C20"/>
      <c r="D20"/>
      <c r="E20"/>
      <c r="F20"/>
      <c r="G20"/>
      <c r="H20"/>
      <c r="I20"/>
      <c r="J20"/>
      <c r="K20"/>
    </row>
    <row r="21" spans="3:12" x14ac:dyDescent="0.25">
      <c r="C21"/>
      <c r="D21"/>
      <c r="E21"/>
      <c r="F21"/>
      <c r="G21"/>
      <c r="H21"/>
      <c r="I21"/>
      <c r="J21"/>
      <c r="K21"/>
    </row>
    <row r="22" spans="3:12" x14ac:dyDescent="0.25">
      <c r="C22"/>
      <c r="D22"/>
      <c r="E22"/>
      <c r="F22"/>
      <c r="G22"/>
      <c r="H22"/>
      <c r="I22"/>
      <c r="J22"/>
      <c r="K22"/>
    </row>
    <row r="23" spans="3:12" hidden="1" x14ac:dyDescent="0.25">
      <c r="C23"/>
      <c r="D23"/>
      <c r="E23"/>
      <c r="F23"/>
      <c r="G23"/>
      <c r="H23"/>
      <c r="I23"/>
      <c r="J23"/>
      <c r="K23"/>
    </row>
    <row r="24" spans="3:12" hidden="1" x14ac:dyDescent="0.25">
      <c r="C24"/>
      <c r="D24"/>
      <c r="E24"/>
      <c r="F24"/>
      <c r="G24"/>
      <c r="H24"/>
      <c r="I24"/>
      <c r="J24"/>
      <c r="K24"/>
    </row>
    <row r="25" spans="3:12" hidden="1" x14ac:dyDescent="0.25">
      <c r="C25"/>
      <c r="D25"/>
      <c r="E25"/>
      <c r="F25"/>
      <c r="G25"/>
      <c r="H25"/>
      <c r="I25"/>
      <c r="J25"/>
      <c r="K25"/>
    </row>
    <row r="26" spans="3:12" x14ac:dyDescent="0.25">
      <c r="C26"/>
      <c r="D26"/>
      <c r="E26"/>
      <c r="F26"/>
      <c r="G26"/>
      <c r="H26" s="347" t="s">
        <v>176</v>
      </c>
      <c r="I26" s="348"/>
      <c r="J26"/>
      <c r="K26"/>
    </row>
    <row r="27" spans="3:12" ht="30" customHeight="1" x14ac:dyDescent="0.25">
      <c r="C27" s="169" t="s">
        <v>169</v>
      </c>
      <c r="D27" s="170" t="s">
        <v>170</v>
      </c>
      <c r="E27" s="170" t="s">
        <v>173</v>
      </c>
      <c r="F27" s="170" t="s">
        <v>181</v>
      </c>
      <c r="G27" s="170" t="s">
        <v>171</v>
      </c>
      <c r="H27" s="170" t="s">
        <v>43</v>
      </c>
      <c r="I27" s="170" t="s">
        <v>174</v>
      </c>
      <c r="J27" s="170" t="s">
        <v>172</v>
      </c>
      <c r="K27" s="171" t="s">
        <v>88</v>
      </c>
      <c r="L27" s="170" t="s">
        <v>186</v>
      </c>
    </row>
    <row r="28" spans="3:12" hidden="1" x14ac:dyDescent="0.25">
      <c r="C28" s="173"/>
      <c r="D28" s="173"/>
      <c r="E28" s="173"/>
      <c r="F28" s="173"/>
      <c r="G28" s="174"/>
      <c r="H28" s="174"/>
      <c r="I28" s="174"/>
      <c r="J28" s="173"/>
      <c r="K28" s="173"/>
      <c r="L28" s="192"/>
    </row>
    <row r="29" spans="3:12" hidden="1" x14ac:dyDescent="0.25">
      <c r="C29" s="173"/>
      <c r="D29" s="173"/>
      <c r="E29" s="173"/>
      <c r="F29" s="173"/>
      <c r="G29" s="174"/>
      <c r="H29" s="174"/>
      <c r="I29" s="174"/>
      <c r="J29" s="173"/>
      <c r="K29" s="173"/>
      <c r="L29" s="188"/>
    </row>
    <row r="30" spans="3:12" hidden="1" x14ac:dyDescent="0.25">
      <c r="C30" s="173"/>
      <c r="D30" s="173"/>
      <c r="E30" s="173"/>
      <c r="F30" s="173"/>
      <c r="G30" s="174"/>
      <c r="H30" s="174"/>
      <c r="I30" s="174"/>
      <c r="J30" s="173"/>
      <c r="K30" s="173"/>
      <c r="L30" s="188"/>
    </row>
    <row r="31" spans="3:12" hidden="1" x14ac:dyDescent="0.25">
      <c r="C31" s="173"/>
      <c r="D31" s="173"/>
      <c r="E31" s="173"/>
      <c r="F31" s="173"/>
      <c r="G31" s="174"/>
      <c r="H31" s="174"/>
      <c r="I31" s="174"/>
      <c r="J31" s="173"/>
      <c r="K31" s="173"/>
      <c r="L31" s="188"/>
    </row>
    <row r="32" spans="3:12" hidden="1" x14ac:dyDescent="0.25">
      <c r="C32" s="173"/>
      <c r="D32" s="173"/>
      <c r="E32" s="173"/>
      <c r="F32" s="173"/>
      <c r="G32" s="174"/>
      <c r="H32" s="174"/>
      <c r="I32" s="174"/>
      <c r="J32" s="173"/>
      <c r="K32" s="173"/>
      <c r="L32" s="188"/>
    </row>
    <row r="33" spans="3:12" hidden="1" x14ac:dyDescent="0.25">
      <c r="C33" s="173"/>
      <c r="D33" s="173"/>
      <c r="E33" s="173"/>
      <c r="F33" s="173"/>
      <c r="G33" s="174"/>
      <c r="H33" s="174"/>
      <c r="I33" s="174"/>
      <c r="J33" s="173"/>
      <c r="K33" s="173"/>
      <c r="L33" s="188"/>
    </row>
    <row r="34" spans="3:12" hidden="1" x14ac:dyDescent="0.25">
      <c r="C34" s="175"/>
      <c r="D34" s="175"/>
      <c r="E34" s="175"/>
      <c r="F34" s="175"/>
      <c r="G34" s="176"/>
      <c r="H34" s="176"/>
      <c r="I34" s="176"/>
      <c r="J34" s="175"/>
      <c r="K34" s="175"/>
      <c r="L34" s="188"/>
    </row>
    <row r="35" spans="3:12" hidden="1" x14ac:dyDescent="0.25">
      <c r="C35" s="175"/>
      <c r="D35" s="175"/>
      <c r="E35" s="175"/>
      <c r="F35" s="175"/>
      <c r="G35" s="176"/>
      <c r="H35" s="176"/>
      <c r="I35" s="176"/>
      <c r="J35" s="175"/>
      <c r="K35" s="175"/>
      <c r="L35" s="188"/>
    </row>
    <row r="36" spans="3:12" hidden="1" x14ac:dyDescent="0.25">
      <c r="C36" s="175"/>
      <c r="D36" s="175"/>
      <c r="E36" s="175"/>
      <c r="F36" s="175"/>
      <c r="G36" s="176"/>
      <c r="H36" s="176"/>
      <c r="I36" s="176"/>
      <c r="J36" s="175"/>
      <c r="K36" s="175"/>
      <c r="L36" s="188"/>
    </row>
    <row r="37" spans="3:12" hidden="1" x14ac:dyDescent="0.25">
      <c r="C37" s="175"/>
      <c r="D37" s="175"/>
      <c r="E37" s="175"/>
      <c r="F37" s="175"/>
      <c r="G37" s="176"/>
      <c r="H37" s="176"/>
      <c r="I37" s="176"/>
      <c r="J37" s="175"/>
      <c r="K37" s="175"/>
      <c r="L37" s="188"/>
    </row>
    <row r="38" spans="3:12" hidden="1" x14ac:dyDescent="0.25">
      <c r="C38" s="175"/>
      <c r="D38" s="175"/>
      <c r="E38" s="175"/>
      <c r="F38" s="175"/>
      <c r="G38" s="176"/>
      <c r="H38" s="176"/>
      <c r="I38" s="176"/>
      <c r="J38" s="175"/>
      <c r="K38" s="175"/>
      <c r="L38" s="188"/>
    </row>
    <row r="39" spans="3:12" hidden="1" x14ac:dyDescent="0.25">
      <c r="C39" s="173"/>
      <c r="D39" s="173"/>
      <c r="E39" s="173"/>
      <c r="F39" s="173"/>
      <c r="G39" s="174"/>
      <c r="H39" s="174"/>
      <c r="I39" s="174"/>
      <c r="J39" s="173"/>
      <c r="K39" s="173"/>
      <c r="L39" s="188"/>
    </row>
    <row r="40" spans="3:12" hidden="1" x14ac:dyDescent="0.25">
      <c r="C40" s="175"/>
      <c r="D40" s="175"/>
      <c r="E40" s="175"/>
      <c r="F40" s="176"/>
      <c r="G40" s="176"/>
      <c r="H40" s="176"/>
      <c r="I40" s="176"/>
      <c r="J40" s="175"/>
      <c r="K40" s="175"/>
      <c r="L40" s="188"/>
    </row>
    <row r="41" spans="3:12" hidden="1" x14ac:dyDescent="0.25">
      <c r="C41" s="173"/>
      <c r="D41" s="173"/>
      <c r="E41" s="173"/>
      <c r="F41" s="174"/>
      <c r="G41" s="173"/>
      <c r="H41" s="174"/>
      <c r="I41" s="174"/>
      <c r="J41" s="173"/>
      <c r="K41" s="173"/>
      <c r="L41" s="188"/>
    </row>
    <row r="42" spans="3:12" hidden="1" x14ac:dyDescent="0.25">
      <c r="C42" s="173"/>
      <c r="D42" s="173"/>
      <c r="E42" s="173"/>
      <c r="F42" s="174"/>
      <c r="G42" s="173"/>
      <c r="H42" s="174"/>
      <c r="I42" s="174"/>
      <c r="J42" s="173"/>
      <c r="K42" s="173"/>
      <c r="L42" s="188"/>
    </row>
    <row r="43" spans="3:12" hidden="1" x14ac:dyDescent="0.25">
      <c r="C43" s="173"/>
      <c r="D43" s="173"/>
      <c r="E43" s="173"/>
      <c r="F43" s="173"/>
      <c r="G43" s="173"/>
      <c r="H43" s="174"/>
      <c r="I43" s="174"/>
      <c r="J43" s="173"/>
      <c r="K43" s="173"/>
      <c r="L43" s="188"/>
    </row>
    <row r="44" spans="3:12" hidden="1" x14ac:dyDescent="0.25">
      <c r="C44" s="173"/>
      <c r="D44" s="173"/>
      <c r="E44" s="173"/>
      <c r="F44" s="173"/>
      <c r="G44" s="173"/>
      <c r="H44" s="174"/>
      <c r="I44" s="174"/>
      <c r="J44" s="173"/>
      <c r="K44" s="173"/>
      <c r="L44" s="188"/>
    </row>
    <row r="45" spans="3:12" hidden="1" x14ac:dyDescent="0.25">
      <c r="C45" s="173"/>
      <c r="D45" s="173"/>
      <c r="E45" s="173"/>
      <c r="F45" s="174"/>
      <c r="G45" s="174"/>
      <c r="H45" s="174"/>
      <c r="I45" s="174"/>
      <c r="J45" s="173"/>
      <c r="K45" s="173"/>
      <c r="L45" s="188"/>
    </row>
    <row r="46" spans="3:12" hidden="1" x14ac:dyDescent="0.25">
      <c r="C46" s="173"/>
      <c r="D46" s="173"/>
      <c r="E46" s="173"/>
      <c r="F46" s="174"/>
      <c r="G46" s="174"/>
      <c r="H46" s="174"/>
      <c r="I46" s="174"/>
      <c r="J46" s="173"/>
      <c r="K46" s="173"/>
      <c r="L46" s="188"/>
    </row>
    <row r="47" spans="3:12" hidden="1" x14ac:dyDescent="0.25">
      <c r="C47" s="173"/>
      <c r="D47" s="173"/>
      <c r="E47" s="173"/>
      <c r="F47" s="174"/>
      <c r="G47" s="174"/>
      <c r="H47" s="174"/>
      <c r="I47" s="174"/>
      <c r="J47" s="173"/>
      <c r="K47" s="173"/>
      <c r="L47" s="188"/>
    </row>
    <row r="48" spans="3:12" hidden="1" x14ac:dyDescent="0.25">
      <c r="C48" s="173"/>
      <c r="D48" s="173"/>
      <c r="E48" s="173"/>
      <c r="F48" s="174"/>
      <c r="G48" s="174"/>
      <c r="H48" s="174"/>
      <c r="I48" s="174"/>
      <c r="J48" s="173"/>
      <c r="K48" s="173"/>
      <c r="L48" s="188"/>
    </row>
    <row r="49" spans="3:12" hidden="1" x14ac:dyDescent="0.25">
      <c r="C49" s="173"/>
      <c r="D49" s="173"/>
      <c r="E49" s="173"/>
      <c r="F49" s="174"/>
      <c r="G49" s="174"/>
      <c r="H49" s="174"/>
      <c r="I49" s="174"/>
      <c r="J49" s="173"/>
      <c r="K49" s="173"/>
      <c r="L49" s="188"/>
    </row>
    <row r="50" spans="3:12" hidden="1" x14ac:dyDescent="0.25">
      <c r="C50" s="173"/>
      <c r="D50" s="173"/>
      <c r="E50" s="173"/>
      <c r="F50" s="174"/>
      <c r="G50" s="174"/>
      <c r="H50" s="174"/>
      <c r="I50" s="174"/>
      <c r="J50" s="173"/>
      <c r="K50" s="173"/>
      <c r="L50" s="188"/>
    </row>
    <row r="51" spans="3:12" hidden="1" x14ac:dyDescent="0.25">
      <c r="C51" s="173"/>
      <c r="D51" s="173"/>
      <c r="E51" s="173"/>
      <c r="F51" s="173"/>
      <c r="G51" s="174"/>
      <c r="H51" s="174"/>
      <c r="I51" s="174"/>
      <c r="J51" s="173"/>
      <c r="K51" s="173"/>
      <c r="L51" s="188"/>
    </row>
    <row r="52" spans="3:12" hidden="1" x14ac:dyDescent="0.25">
      <c r="C52" s="173"/>
      <c r="D52" s="173"/>
      <c r="E52" s="173"/>
      <c r="F52" s="173"/>
      <c r="G52" s="174"/>
      <c r="H52" s="174"/>
      <c r="I52" s="174"/>
      <c r="J52" s="173"/>
      <c r="K52" s="173"/>
      <c r="L52" s="188"/>
    </row>
    <row r="53" spans="3:12" hidden="1" x14ac:dyDescent="0.25">
      <c r="C53" s="173"/>
      <c r="D53" s="173"/>
      <c r="E53" s="173"/>
      <c r="F53" s="173"/>
      <c r="G53" s="174"/>
      <c r="H53" s="174"/>
      <c r="I53" s="174"/>
      <c r="J53" s="173"/>
      <c r="K53" s="173"/>
      <c r="L53" s="188"/>
    </row>
    <row r="54" spans="3:12" x14ac:dyDescent="0.25">
      <c r="C54" s="173"/>
      <c r="D54" s="173"/>
      <c r="E54" s="173"/>
      <c r="F54" s="173"/>
      <c r="G54" s="174"/>
      <c r="H54" s="174"/>
      <c r="I54" s="174"/>
      <c r="J54" s="173"/>
      <c r="K54" s="173"/>
      <c r="L54" s="188"/>
    </row>
    <row r="55" spans="3:12" hidden="1" x14ac:dyDescent="0.25">
      <c r="C55" s="173"/>
      <c r="D55" s="173"/>
      <c r="E55" s="173"/>
      <c r="F55" s="173"/>
      <c r="G55" s="174"/>
      <c r="H55" s="174"/>
      <c r="I55" s="174"/>
      <c r="J55" s="173"/>
      <c r="K55" s="173"/>
      <c r="L55" s="188"/>
    </row>
    <row r="56" spans="3:12" hidden="1" x14ac:dyDescent="0.25">
      <c r="C56" s="173"/>
      <c r="D56" s="173"/>
      <c r="E56" s="173"/>
      <c r="F56" s="174"/>
      <c r="G56" s="173"/>
      <c r="H56" s="174"/>
      <c r="I56" s="174"/>
      <c r="J56" s="173"/>
      <c r="K56" s="173"/>
      <c r="L56" s="188"/>
    </row>
    <row r="57" spans="3:12" hidden="1" x14ac:dyDescent="0.25">
      <c r="C57" s="173"/>
      <c r="D57" s="173"/>
      <c r="E57" s="173"/>
      <c r="F57" s="173"/>
      <c r="G57" s="174"/>
      <c r="H57" s="174"/>
      <c r="I57" s="174"/>
      <c r="J57" s="173"/>
      <c r="K57" s="173"/>
      <c r="L57" s="188"/>
    </row>
    <row r="58" spans="3:12" hidden="1" x14ac:dyDescent="0.25">
      <c r="C58" s="173"/>
      <c r="D58" s="173"/>
      <c r="E58" s="173"/>
      <c r="F58" s="174"/>
      <c r="G58" s="173"/>
      <c r="H58" s="174"/>
      <c r="I58" s="174"/>
      <c r="J58" s="173"/>
      <c r="K58" s="173"/>
      <c r="L58" s="188"/>
    </row>
    <row r="59" spans="3:12" hidden="1" x14ac:dyDescent="0.25">
      <c r="C59" s="173"/>
      <c r="D59" s="173"/>
      <c r="E59" s="173"/>
      <c r="F59" s="173"/>
      <c r="G59" s="174"/>
      <c r="H59" s="174"/>
      <c r="I59" s="174"/>
      <c r="J59" s="173"/>
      <c r="K59" s="173"/>
      <c r="L59" s="188"/>
    </row>
    <row r="60" spans="3:12" hidden="1" x14ac:dyDescent="0.25">
      <c r="C60" s="173"/>
      <c r="D60" s="173"/>
      <c r="E60" s="173"/>
      <c r="F60" s="173"/>
      <c r="G60" s="174"/>
      <c r="H60" s="174"/>
      <c r="I60" s="174"/>
      <c r="J60" s="173"/>
      <c r="K60" s="173"/>
      <c r="L60" s="188"/>
    </row>
    <row r="61" spans="3:12" hidden="1" x14ac:dyDescent="0.25">
      <c r="C61" s="173"/>
      <c r="D61" s="173"/>
      <c r="E61" s="173"/>
      <c r="F61" s="174"/>
      <c r="G61" s="174"/>
      <c r="H61" s="174"/>
      <c r="I61" s="174"/>
      <c r="J61" s="173"/>
      <c r="K61" s="173"/>
      <c r="L61" s="188"/>
    </row>
    <row r="62" spans="3:12" hidden="1" x14ac:dyDescent="0.25">
      <c r="C62" s="173"/>
      <c r="D62" s="173"/>
      <c r="E62" s="173"/>
      <c r="F62" s="174"/>
      <c r="G62" s="174"/>
      <c r="H62" s="174"/>
      <c r="I62" s="174"/>
      <c r="J62" s="173"/>
      <c r="K62" s="173"/>
      <c r="L62" s="188"/>
    </row>
    <row r="63" spans="3:12" hidden="1" x14ac:dyDescent="0.25">
      <c r="C63" s="173"/>
      <c r="D63" s="173"/>
      <c r="E63" s="173"/>
      <c r="F63" s="173"/>
      <c r="G63" s="174"/>
      <c r="H63" s="174"/>
      <c r="I63" s="174"/>
      <c r="J63" s="173"/>
      <c r="K63" s="173"/>
      <c r="L63" s="188"/>
    </row>
    <row r="64" spans="3:12" hidden="1" x14ac:dyDescent="0.25">
      <c r="C64" s="173"/>
      <c r="D64" s="173"/>
      <c r="E64" s="173"/>
      <c r="F64" s="173"/>
      <c r="G64" s="174"/>
      <c r="H64" s="174"/>
      <c r="I64" s="174"/>
      <c r="J64" s="173"/>
      <c r="K64" s="173"/>
      <c r="L64" s="188"/>
    </row>
    <row r="65" spans="3:12" hidden="1" x14ac:dyDescent="0.25">
      <c r="C65" s="173"/>
      <c r="D65" s="173"/>
      <c r="E65" s="173"/>
      <c r="F65" s="173"/>
      <c r="G65" s="174"/>
      <c r="H65" s="174"/>
      <c r="I65" s="174"/>
      <c r="J65" s="173"/>
      <c r="K65" s="173"/>
      <c r="L65" s="188"/>
    </row>
    <row r="66" spans="3:12" hidden="1" x14ac:dyDescent="0.25">
      <c r="C66" s="173"/>
      <c r="D66" s="173"/>
      <c r="E66" s="173"/>
      <c r="F66" s="174"/>
      <c r="G66" s="174"/>
      <c r="H66" s="174"/>
      <c r="I66" s="174"/>
      <c r="J66" s="173"/>
      <c r="K66" s="173"/>
      <c r="L66" s="188"/>
    </row>
    <row r="67" spans="3:12" hidden="1" x14ac:dyDescent="0.25">
      <c r="C67" s="173"/>
      <c r="D67" s="173"/>
      <c r="E67" s="173"/>
      <c r="F67" s="173"/>
      <c r="G67" s="173"/>
      <c r="H67" s="174"/>
      <c r="I67" s="174"/>
      <c r="J67" s="173"/>
      <c r="K67" s="173"/>
      <c r="L67" s="188"/>
    </row>
    <row r="68" spans="3:12" hidden="1" x14ac:dyDescent="0.25">
      <c r="C68" s="173"/>
      <c r="D68" s="173"/>
      <c r="E68" s="173"/>
      <c r="F68" s="173"/>
      <c r="G68" s="174"/>
      <c r="H68" s="174"/>
      <c r="I68" s="174"/>
      <c r="J68" s="173"/>
      <c r="K68" s="173"/>
      <c r="L68" s="188"/>
    </row>
    <row r="69" spans="3:12" hidden="1" x14ac:dyDescent="0.25">
      <c r="C69" s="173"/>
      <c r="D69" s="173"/>
      <c r="E69" s="173"/>
      <c r="F69" s="173"/>
      <c r="G69" s="174"/>
      <c r="H69" s="174"/>
      <c r="I69" s="174"/>
      <c r="J69" s="173"/>
      <c r="K69" s="173"/>
      <c r="L69" s="188"/>
    </row>
    <row r="70" spans="3:12" hidden="1" x14ac:dyDescent="0.25">
      <c r="C70" s="173"/>
      <c r="D70" s="173"/>
      <c r="E70" s="173"/>
      <c r="F70" s="174"/>
      <c r="G70" s="174"/>
      <c r="H70" s="174"/>
      <c r="I70" s="174"/>
      <c r="J70" s="173"/>
      <c r="K70" s="173"/>
      <c r="L70" s="188"/>
    </row>
    <row r="71" spans="3:12" x14ac:dyDescent="0.25">
      <c r="C71" s="173"/>
      <c r="D71" s="173"/>
      <c r="E71" s="173"/>
      <c r="F71" s="174"/>
      <c r="G71" s="173"/>
      <c r="H71" s="174"/>
      <c r="I71" s="174"/>
      <c r="J71" s="173"/>
      <c r="K71" s="173"/>
      <c r="L71" s="188"/>
    </row>
    <row r="72" spans="3:12" hidden="1" x14ac:dyDescent="0.25">
      <c r="C72" s="173"/>
      <c r="D72" s="173"/>
      <c r="E72" s="173"/>
      <c r="F72" s="174"/>
      <c r="G72" s="174"/>
      <c r="H72" s="174"/>
      <c r="I72" s="174"/>
      <c r="J72" s="173"/>
      <c r="K72" s="173"/>
      <c r="L72" s="188"/>
    </row>
    <row r="73" spans="3:12" hidden="1" x14ac:dyDescent="0.25">
      <c r="C73" s="173"/>
      <c r="D73" s="173"/>
      <c r="E73" s="173"/>
      <c r="F73" s="174"/>
      <c r="G73" s="174"/>
      <c r="H73" s="174"/>
      <c r="I73" s="174"/>
      <c r="J73" s="173"/>
      <c r="K73" s="173"/>
      <c r="L73" s="188"/>
    </row>
    <row r="74" spans="3:12" hidden="1" x14ac:dyDescent="0.25">
      <c r="C74" s="173"/>
      <c r="D74" s="173"/>
      <c r="E74" s="173"/>
      <c r="F74" s="174"/>
      <c r="G74" s="174"/>
      <c r="H74" s="174"/>
      <c r="I74" s="174"/>
      <c r="J74" s="173"/>
      <c r="K74" s="173"/>
      <c r="L74" s="188"/>
    </row>
    <row r="75" spans="3:12" hidden="1" x14ac:dyDescent="0.25">
      <c r="C75" s="173"/>
      <c r="D75" s="173"/>
      <c r="E75" s="173"/>
      <c r="F75" s="174"/>
      <c r="G75" s="174"/>
      <c r="H75" s="174"/>
      <c r="I75" s="174"/>
      <c r="J75" s="173"/>
      <c r="K75" s="173"/>
      <c r="L75" s="188"/>
    </row>
    <row r="76" spans="3:12" hidden="1" x14ac:dyDescent="0.25">
      <c r="C76" s="173"/>
      <c r="D76" s="173"/>
      <c r="E76" s="173"/>
      <c r="F76" s="174"/>
      <c r="G76" s="174"/>
      <c r="H76" s="174"/>
      <c r="I76" s="174"/>
      <c r="J76" s="173"/>
      <c r="K76" s="173"/>
      <c r="L76" s="188"/>
    </row>
    <row r="77" spans="3:12" hidden="1" x14ac:dyDescent="0.25">
      <c r="C77" s="173"/>
      <c r="D77" s="173"/>
      <c r="E77" s="173"/>
      <c r="F77" s="174"/>
      <c r="G77" s="173"/>
      <c r="H77" s="174"/>
      <c r="I77" s="174"/>
      <c r="J77" s="173"/>
      <c r="K77" s="173"/>
      <c r="L77" s="188"/>
    </row>
    <row r="78" spans="3:12" hidden="1" x14ac:dyDescent="0.25">
      <c r="C78" s="173"/>
      <c r="D78" s="173"/>
      <c r="E78" s="173"/>
      <c r="F78" s="174"/>
      <c r="G78" s="174"/>
      <c r="H78" s="174"/>
      <c r="I78" s="174"/>
      <c r="J78" s="173"/>
      <c r="K78" s="173"/>
      <c r="L78" s="188"/>
    </row>
    <row r="79" spans="3:12" hidden="1" x14ac:dyDescent="0.25">
      <c r="C79" s="173"/>
      <c r="D79" s="173"/>
      <c r="E79" s="173"/>
      <c r="F79" s="174"/>
      <c r="G79" s="173"/>
      <c r="H79" s="174"/>
      <c r="I79" s="174"/>
      <c r="J79" s="173"/>
      <c r="K79" s="173"/>
      <c r="L79" s="188"/>
    </row>
    <row r="80" spans="3:12" hidden="1" x14ac:dyDescent="0.25">
      <c r="C80" s="173"/>
      <c r="D80" s="173"/>
      <c r="E80" s="173"/>
      <c r="F80" s="173"/>
      <c r="G80" s="174"/>
      <c r="H80" s="174"/>
      <c r="I80" s="174"/>
      <c r="J80" s="173"/>
      <c r="K80" s="173"/>
      <c r="L80" s="188"/>
    </row>
    <row r="81" spans="3:12" hidden="1" x14ac:dyDescent="0.25">
      <c r="C81" s="173"/>
      <c r="D81" s="173"/>
      <c r="E81" s="173"/>
      <c r="F81" s="173"/>
      <c r="G81" s="174"/>
      <c r="H81" s="174"/>
      <c r="I81" s="174"/>
      <c r="J81" s="173"/>
      <c r="K81" s="173"/>
      <c r="L81" s="188"/>
    </row>
    <row r="82" spans="3:12" hidden="1" x14ac:dyDescent="0.25">
      <c r="C82" s="173"/>
      <c r="D82" s="173"/>
      <c r="E82" s="173"/>
      <c r="F82" s="173"/>
      <c r="G82" s="174"/>
      <c r="H82" s="174"/>
      <c r="I82" s="174"/>
      <c r="J82" s="173"/>
      <c r="K82" s="173"/>
      <c r="L82" s="188"/>
    </row>
    <row r="83" spans="3:12" hidden="1" x14ac:dyDescent="0.25">
      <c r="C83" s="173"/>
      <c r="D83" s="173"/>
      <c r="E83" s="173"/>
      <c r="F83" s="174"/>
      <c r="G83" s="174"/>
      <c r="H83" s="174"/>
      <c r="I83" s="174"/>
      <c r="J83" s="173"/>
      <c r="K83" s="173"/>
      <c r="L83" s="188"/>
    </row>
    <row r="84" spans="3:12" hidden="1" x14ac:dyDescent="0.25">
      <c r="C84" s="173"/>
      <c r="D84" s="173"/>
      <c r="E84" s="173"/>
      <c r="F84" s="174"/>
      <c r="G84" s="174"/>
      <c r="H84" s="174"/>
      <c r="I84" s="174"/>
      <c r="J84" s="173"/>
      <c r="K84" s="173"/>
      <c r="L84" s="188"/>
    </row>
    <row r="85" spans="3:12" hidden="1" x14ac:dyDescent="0.25">
      <c r="C85" s="173"/>
      <c r="D85" s="173"/>
      <c r="E85" s="173"/>
      <c r="F85" s="174"/>
      <c r="G85" s="174"/>
      <c r="H85" s="174"/>
      <c r="I85" s="174"/>
      <c r="J85" s="173"/>
      <c r="K85" s="173"/>
      <c r="L85" s="188"/>
    </row>
    <row r="86" spans="3:12" hidden="1" x14ac:dyDescent="0.25">
      <c r="C86" s="173"/>
      <c r="D86" s="173"/>
      <c r="E86" s="173"/>
      <c r="F86" s="173"/>
      <c r="G86" s="173"/>
      <c r="H86" s="174"/>
      <c r="I86" s="174"/>
      <c r="J86" s="173"/>
      <c r="K86" s="173"/>
      <c r="L86" s="188"/>
    </row>
    <row r="87" spans="3:12" hidden="1" x14ac:dyDescent="0.25">
      <c r="C87" s="173"/>
      <c r="D87" s="173"/>
      <c r="E87" s="173"/>
      <c r="F87" s="174"/>
      <c r="G87" s="173"/>
      <c r="H87" s="174"/>
      <c r="I87" s="174"/>
      <c r="J87" s="173"/>
      <c r="K87" s="173"/>
      <c r="L87" s="188"/>
    </row>
    <row r="88" spans="3:12" hidden="1" x14ac:dyDescent="0.25">
      <c r="C88" s="173"/>
      <c r="D88" s="173"/>
      <c r="E88" s="173"/>
      <c r="F88" s="173"/>
      <c r="G88" s="173"/>
      <c r="H88" s="174"/>
      <c r="I88" s="174"/>
      <c r="J88" s="173"/>
      <c r="K88" s="173"/>
      <c r="L88" s="188"/>
    </row>
    <row r="89" spans="3:12" hidden="1" x14ac:dyDescent="0.25">
      <c r="C89" s="173"/>
      <c r="D89" s="173"/>
      <c r="E89" s="173"/>
      <c r="F89" s="174"/>
      <c r="G89" s="173"/>
      <c r="H89" s="174"/>
      <c r="I89" s="174"/>
      <c r="J89" s="173"/>
      <c r="K89" s="173"/>
      <c r="L89" s="188"/>
    </row>
    <row r="90" spans="3:12" hidden="1" x14ac:dyDescent="0.25">
      <c r="C90" s="173"/>
      <c r="D90" s="173"/>
      <c r="E90" s="173"/>
      <c r="F90" s="174"/>
      <c r="G90" s="174"/>
      <c r="H90" s="174"/>
      <c r="I90" s="174"/>
      <c r="J90" s="173"/>
      <c r="K90" s="173"/>
      <c r="L90" s="188"/>
    </row>
    <row r="91" spans="3:12" hidden="1" x14ac:dyDescent="0.25">
      <c r="C91" s="173"/>
      <c r="D91" s="173"/>
      <c r="E91" s="173"/>
      <c r="F91" s="174"/>
      <c r="G91" s="174"/>
      <c r="H91" s="174"/>
      <c r="I91" s="174"/>
      <c r="J91" s="173"/>
      <c r="K91" s="173"/>
      <c r="L91" s="188"/>
    </row>
    <row r="92" spans="3:12" hidden="1" x14ac:dyDescent="0.25">
      <c r="C92" s="173"/>
      <c r="D92" s="173"/>
      <c r="E92" s="173"/>
      <c r="F92" s="173"/>
      <c r="G92" s="174"/>
      <c r="H92" s="174"/>
      <c r="I92" s="174"/>
      <c r="J92" s="173"/>
      <c r="K92" s="173"/>
      <c r="L92" s="188"/>
    </row>
    <row r="93" spans="3:12" hidden="1" x14ac:dyDescent="0.25">
      <c r="C93" s="173"/>
      <c r="D93" s="173"/>
      <c r="E93" s="173"/>
      <c r="F93" s="174"/>
      <c r="G93" s="174"/>
      <c r="H93" s="174"/>
      <c r="I93" s="174"/>
      <c r="J93" s="173"/>
      <c r="K93" s="173"/>
      <c r="L93" s="188"/>
    </row>
    <row r="94" spans="3:12" hidden="1" x14ac:dyDescent="0.25">
      <c r="C94" s="173"/>
      <c r="D94" s="173"/>
      <c r="E94" s="173"/>
      <c r="F94" s="173"/>
      <c r="G94" s="173"/>
      <c r="H94" s="174"/>
      <c r="I94" s="174"/>
      <c r="J94" s="173"/>
      <c r="K94" s="173"/>
      <c r="L94" s="188"/>
    </row>
    <row r="95" spans="3:12" hidden="1" x14ac:dyDescent="0.25">
      <c r="C95" s="173"/>
      <c r="D95" s="173"/>
      <c r="E95" s="173"/>
      <c r="F95" s="173"/>
      <c r="G95" s="174"/>
      <c r="H95" s="174"/>
      <c r="I95" s="174"/>
      <c r="J95" s="173"/>
      <c r="K95" s="173"/>
      <c r="L95" s="188"/>
    </row>
    <row r="96" spans="3:12" hidden="1" x14ac:dyDescent="0.25">
      <c r="C96" s="173"/>
      <c r="D96" s="173"/>
      <c r="E96" s="173"/>
      <c r="F96" s="174"/>
      <c r="G96" s="174"/>
      <c r="H96" s="174"/>
      <c r="I96" s="174"/>
      <c r="J96" s="173"/>
      <c r="K96" s="173"/>
      <c r="L96" s="188"/>
    </row>
    <row r="97" spans="3:12" hidden="1" x14ac:dyDescent="0.25">
      <c r="C97" s="173"/>
      <c r="D97" s="173"/>
      <c r="E97" s="173"/>
      <c r="F97" s="174"/>
      <c r="G97" s="174"/>
      <c r="H97" s="174"/>
      <c r="I97" s="174"/>
      <c r="J97" s="173"/>
      <c r="K97" s="173"/>
      <c r="L97" s="188"/>
    </row>
    <row r="98" spans="3:12" hidden="1" x14ac:dyDescent="0.25">
      <c r="C98" s="173"/>
      <c r="D98" s="173"/>
      <c r="E98" s="173"/>
      <c r="F98" s="174"/>
      <c r="G98" s="174"/>
      <c r="H98" s="174"/>
      <c r="I98" s="174"/>
      <c r="J98" s="173"/>
      <c r="K98" s="173"/>
      <c r="L98" s="188"/>
    </row>
    <row r="99" spans="3:12" hidden="1" x14ac:dyDescent="0.25">
      <c r="C99" s="173"/>
      <c r="D99" s="173"/>
      <c r="E99" s="173"/>
      <c r="F99" s="174"/>
      <c r="G99" s="174"/>
      <c r="H99" s="174"/>
      <c r="I99" s="174"/>
      <c r="J99" s="173"/>
      <c r="K99" s="173"/>
      <c r="L99" s="188"/>
    </row>
    <row r="100" spans="3:12" hidden="1" x14ac:dyDescent="0.25">
      <c r="C100" s="173"/>
      <c r="D100" s="173"/>
      <c r="E100" s="173"/>
      <c r="F100" s="173"/>
      <c r="G100" s="174"/>
      <c r="H100" s="174"/>
      <c r="I100" s="174"/>
      <c r="J100" s="173"/>
      <c r="K100" s="173"/>
      <c r="L100" s="188"/>
    </row>
    <row r="101" spans="3:12" hidden="1" x14ac:dyDescent="0.25">
      <c r="C101" s="173"/>
      <c r="D101" s="173"/>
      <c r="E101" s="173"/>
      <c r="F101" s="174"/>
      <c r="G101" s="174"/>
      <c r="H101" s="174"/>
      <c r="I101" s="174"/>
      <c r="J101" s="173"/>
      <c r="K101" s="173"/>
      <c r="L101" s="188"/>
    </row>
    <row r="102" spans="3:12" hidden="1" x14ac:dyDescent="0.25">
      <c r="C102" s="173"/>
      <c r="D102" s="173"/>
      <c r="E102" s="173"/>
      <c r="F102" s="174"/>
      <c r="G102" s="174"/>
      <c r="H102" s="174"/>
      <c r="I102" s="174"/>
      <c r="J102" s="173"/>
      <c r="K102" s="173"/>
      <c r="L102" s="188"/>
    </row>
    <row r="103" spans="3:12" hidden="1" x14ac:dyDescent="0.25">
      <c r="C103" s="173"/>
      <c r="D103" s="173"/>
      <c r="E103" s="173"/>
      <c r="F103" s="174"/>
      <c r="G103" s="173"/>
      <c r="H103" s="174"/>
      <c r="I103" s="174"/>
      <c r="J103" s="173"/>
      <c r="K103" s="173"/>
      <c r="L103" s="188"/>
    </row>
    <row r="104" spans="3:12" hidden="1" x14ac:dyDescent="0.25">
      <c r="C104" s="173"/>
      <c r="D104" s="173"/>
      <c r="E104" s="173"/>
      <c r="F104" s="174"/>
      <c r="G104" s="173"/>
      <c r="H104" s="174"/>
      <c r="I104" s="174"/>
      <c r="J104" s="173"/>
      <c r="K104" s="173"/>
      <c r="L104" s="188"/>
    </row>
    <row r="105" spans="3:12" hidden="1" x14ac:dyDescent="0.25">
      <c r="C105" s="173"/>
      <c r="D105" s="173"/>
      <c r="E105" s="173"/>
      <c r="F105" s="174"/>
      <c r="G105" s="173"/>
      <c r="H105" s="174"/>
      <c r="I105" s="174"/>
      <c r="J105" s="173"/>
      <c r="K105" s="173"/>
      <c r="L105" s="188"/>
    </row>
    <row r="106" spans="3:12" hidden="1" x14ac:dyDescent="0.25">
      <c r="C106" s="173"/>
      <c r="D106" s="173"/>
      <c r="E106" s="173"/>
      <c r="F106" s="174"/>
      <c r="G106" s="173"/>
      <c r="H106" s="174"/>
      <c r="I106" s="174"/>
      <c r="J106" s="173"/>
      <c r="K106" s="173"/>
      <c r="L106" s="188"/>
    </row>
    <row r="107" spans="3:12" hidden="1" x14ac:dyDescent="0.25">
      <c r="C107" s="173"/>
      <c r="D107" s="173"/>
      <c r="E107" s="173"/>
      <c r="F107" s="174"/>
      <c r="G107" s="173"/>
      <c r="H107" s="174"/>
      <c r="I107" s="174"/>
      <c r="J107" s="173"/>
      <c r="K107" s="173"/>
      <c r="L107" s="188"/>
    </row>
    <row r="108" spans="3:12" hidden="1" x14ac:dyDescent="0.25">
      <c r="C108" s="173"/>
      <c r="D108" s="173"/>
      <c r="E108" s="173"/>
      <c r="F108" s="174"/>
      <c r="G108" s="173"/>
      <c r="H108" s="174"/>
      <c r="I108" s="174"/>
      <c r="J108" s="173"/>
      <c r="K108" s="173"/>
      <c r="L108" s="188"/>
    </row>
    <row r="109" spans="3:12" hidden="1" x14ac:dyDescent="0.25">
      <c r="C109" s="173"/>
      <c r="D109" s="173"/>
      <c r="E109" s="173"/>
      <c r="F109" s="174"/>
      <c r="G109" s="173"/>
      <c r="H109" s="174"/>
      <c r="I109" s="174"/>
      <c r="J109" s="173"/>
      <c r="K109" s="173"/>
      <c r="L109" s="188"/>
    </row>
    <row r="110" spans="3:12" hidden="1" x14ac:dyDescent="0.25">
      <c r="C110" s="173"/>
      <c r="D110" s="173"/>
      <c r="E110" s="173"/>
      <c r="F110" s="174"/>
      <c r="G110" s="173"/>
      <c r="H110" s="174"/>
      <c r="I110" s="174"/>
      <c r="J110" s="173"/>
      <c r="K110" s="173"/>
      <c r="L110" s="188"/>
    </row>
    <row r="111" spans="3:12" hidden="1" x14ac:dyDescent="0.25">
      <c r="C111" s="173"/>
      <c r="D111" s="173"/>
      <c r="E111" s="173"/>
      <c r="F111" s="174"/>
      <c r="G111" s="174"/>
      <c r="H111" s="174"/>
      <c r="I111" s="174"/>
      <c r="J111" s="173"/>
      <c r="K111" s="173"/>
      <c r="L111" s="188"/>
    </row>
    <row r="112" spans="3:12" hidden="1" x14ac:dyDescent="0.25">
      <c r="C112" s="173"/>
      <c r="D112" s="173"/>
      <c r="E112" s="173"/>
      <c r="F112" s="173"/>
      <c r="G112" s="174"/>
      <c r="H112" s="174"/>
      <c r="I112" s="174"/>
      <c r="J112" s="173"/>
      <c r="K112" s="173"/>
      <c r="L112" s="188"/>
    </row>
    <row r="113" spans="3:12" hidden="1" x14ac:dyDescent="0.25">
      <c r="C113" s="173"/>
      <c r="D113" s="173"/>
      <c r="E113" s="173"/>
      <c r="F113" s="174"/>
      <c r="G113" s="174"/>
      <c r="H113" s="174"/>
      <c r="I113" s="174"/>
      <c r="J113" s="173"/>
      <c r="K113" s="173"/>
      <c r="L113" s="188"/>
    </row>
    <row r="114" spans="3:12" hidden="1" x14ac:dyDescent="0.25">
      <c r="C114" s="173"/>
      <c r="D114" s="173"/>
      <c r="E114" s="173"/>
      <c r="F114" s="174"/>
      <c r="G114" s="173"/>
      <c r="H114" s="174"/>
      <c r="I114" s="174"/>
      <c r="J114" s="173"/>
      <c r="K114" s="173"/>
      <c r="L114" s="188"/>
    </row>
    <row r="115" spans="3:12" hidden="1" x14ac:dyDescent="0.25">
      <c r="C115" s="173"/>
      <c r="D115" s="173"/>
      <c r="E115" s="173"/>
      <c r="F115" s="174"/>
      <c r="G115" s="174"/>
      <c r="H115" s="174"/>
      <c r="I115" s="174"/>
      <c r="J115" s="173"/>
      <c r="K115" s="173"/>
      <c r="L115" s="188"/>
    </row>
    <row r="116" spans="3:12" hidden="1" x14ac:dyDescent="0.25">
      <c r="C116" s="173"/>
      <c r="D116" s="173"/>
      <c r="E116" s="173"/>
      <c r="F116" s="174"/>
      <c r="G116" s="173"/>
      <c r="H116" s="174"/>
      <c r="I116" s="174"/>
      <c r="J116" s="173"/>
      <c r="K116" s="173"/>
      <c r="L116" s="188"/>
    </row>
    <row r="117" spans="3:12" hidden="1" x14ac:dyDescent="0.25">
      <c r="C117" s="173"/>
      <c r="D117" s="173"/>
      <c r="E117" s="173"/>
      <c r="F117" s="173"/>
      <c r="G117" s="173"/>
      <c r="H117" s="174"/>
      <c r="I117" s="174"/>
      <c r="J117" s="173"/>
      <c r="K117" s="173"/>
      <c r="L117" s="188"/>
    </row>
    <row r="118" spans="3:12" hidden="1" x14ac:dyDescent="0.25">
      <c r="C118" s="173"/>
      <c r="D118" s="173"/>
      <c r="E118" s="173"/>
      <c r="F118" s="174"/>
      <c r="G118" s="173"/>
      <c r="H118" s="174"/>
      <c r="I118" s="174"/>
      <c r="J118" s="173"/>
      <c r="K118" s="173"/>
      <c r="L118" s="188"/>
    </row>
    <row r="119" spans="3:12" hidden="1" x14ac:dyDescent="0.25">
      <c r="C119" s="173"/>
      <c r="D119" s="173"/>
      <c r="E119" s="173"/>
      <c r="F119" s="174"/>
      <c r="G119" s="173"/>
      <c r="H119" s="174"/>
      <c r="I119" s="174"/>
      <c r="J119" s="173"/>
      <c r="K119" s="173"/>
      <c r="L119" s="188"/>
    </row>
    <row r="120" spans="3:12" hidden="1" x14ac:dyDescent="0.25">
      <c r="C120" s="173"/>
      <c r="D120" s="173"/>
      <c r="E120" s="173"/>
      <c r="F120" s="173"/>
      <c r="G120" s="173"/>
      <c r="H120" s="174"/>
      <c r="I120" s="174"/>
      <c r="J120" s="173"/>
      <c r="K120" s="173"/>
      <c r="L120" s="188"/>
    </row>
    <row r="121" spans="3:12" hidden="1" x14ac:dyDescent="0.25">
      <c r="C121" s="173"/>
      <c r="D121" s="173"/>
      <c r="E121" s="173"/>
      <c r="F121" s="174"/>
      <c r="G121" s="174"/>
      <c r="H121" s="174"/>
      <c r="I121" s="174"/>
      <c r="J121" s="173"/>
      <c r="K121" s="173"/>
      <c r="L121" s="188"/>
    </row>
    <row r="122" spans="3:12" hidden="1" x14ac:dyDescent="0.25">
      <c r="C122" s="173"/>
      <c r="D122" s="173"/>
      <c r="E122" s="173"/>
      <c r="F122" s="173"/>
      <c r="G122" s="174"/>
      <c r="H122" s="174"/>
      <c r="I122" s="174"/>
      <c r="J122" s="173"/>
      <c r="K122" s="173"/>
      <c r="L122" s="188"/>
    </row>
    <row r="123" spans="3:12" x14ac:dyDescent="0.25">
      <c r="C123" s="173"/>
      <c r="D123" s="173"/>
      <c r="E123" s="173"/>
      <c r="F123" s="174"/>
      <c r="G123" s="174"/>
      <c r="H123" s="174"/>
      <c r="I123" s="174"/>
      <c r="J123" s="173"/>
      <c r="K123" s="173"/>
      <c r="L123" s="188"/>
    </row>
    <row r="124" spans="3:12" hidden="1" x14ac:dyDescent="0.25">
      <c r="C124" s="173">
        <v>233</v>
      </c>
      <c r="D124" s="173" t="s">
        <v>248</v>
      </c>
      <c r="E124" s="173" t="s">
        <v>33</v>
      </c>
      <c r="F124" s="174"/>
      <c r="G124" s="173"/>
      <c r="H124" s="174">
        <v>44935</v>
      </c>
      <c r="I124" s="174">
        <v>44935</v>
      </c>
      <c r="J124" s="173">
        <v>1</v>
      </c>
      <c r="K124" s="173">
        <v>1</v>
      </c>
      <c r="L124" s="188"/>
    </row>
    <row r="125" spans="3:12" hidden="1" x14ac:dyDescent="0.25">
      <c r="C125" s="173">
        <v>239</v>
      </c>
      <c r="D125" s="173" t="s">
        <v>253</v>
      </c>
      <c r="E125" s="173" t="s">
        <v>43</v>
      </c>
      <c r="F125" s="174">
        <v>44933</v>
      </c>
      <c r="G125" s="173"/>
      <c r="H125" s="174">
        <v>44935</v>
      </c>
      <c r="I125" s="174"/>
      <c r="J125" s="173">
        <v>1</v>
      </c>
      <c r="K125" s="173">
        <v>1</v>
      </c>
      <c r="L125" s="188"/>
    </row>
    <row r="126" spans="3:12" hidden="1" x14ac:dyDescent="0.25">
      <c r="C126" s="173">
        <v>243</v>
      </c>
      <c r="D126" s="173" t="s">
        <v>251</v>
      </c>
      <c r="E126" s="173" t="s">
        <v>33</v>
      </c>
      <c r="F126" s="174"/>
      <c r="G126" s="174"/>
      <c r="H126" s="174">
        <v>44935</v>
      </c>
      <c r="I126" s="174">
        <v>44935</v>
      </c>
      <c r="J126" s="173">
        <v>1</v>
      </c>
      <c r="K126" s="173">
        <v>1</v>
      </c>
      <c r="L126" s="188"/>
    </row>
    <row r="127" spans="3:12" hidden="1" x14ac:dyDescent="0.25">
      <c r="C127" s="173">
        <v>273</v>
      </c>
      <c r="D127" s="173" t="s">
        <v>254</v>
      </c>
      <c r="E127" s="173" t="s">
        <v>33</v>
      </c>
      <c r="F127" s="174"/>
      <c r="G127" s="173"/>
      <c r="H127" s="174">
        <v>44936</v>
      </c>
      <c r="I127" s="174">
        <v>44936</v>
      </c>
      <c r="J127" s="173">
        <v>1</v>
      </c>
      <c r="K127" s="173">
        <v>1</v>
      </c>
      <c r="L127" s="188"/>
    </row>
    <row r="128" spans="3:12" hidden="1" x14ac:dyDescent="0.25">
      <c r="C128" s="173">
        <v>307</v>
      </c>
      <c r="D128" s="173" t="s">
        <v>255</v>
      </c>
      <c r="E128" s="173" t="s">
        <v>33</v>
      </c>
      <c r="F128" s="174"/>
      <c r="G128" s="173"/>
      <c r="H128" s="174">
        <v>44936</v>
      </c>
      <c r="I128" s="174">
        <v>44936</v>
      </c>
      <c r="J128" s="173">
        <v>1</v>
      </c>
      <c r="K128" s="173">
        <v>1</v>
      </c>
      <c r="L128" s="188"/>
    </row>
    <row r="129" spans="3:12" hidden="1" x14ac:dyDescent="0.25">
      <c r="C129" s="173">
        <v>85</v>
      </c>
      <c r="D129" s="173" t="s">
        <v>239</v>
      </c>
      <c r="E129" s="173" t="s">
        <v>33</v>
      </c>
      <c r="F129" s="174"/>
      <c r="G129" s="174"/>
      <c r="H129" s="174">
        <v>44936</v>
      </c>
      <c r="I129" s="174">
        <v>44936</v>
      </c>
      <c r="J129" s="173">
        <v>1</v>
      </c>
      <c r="K129" s="173">
        <v>1</v>
      </c>
      <c r="L129" s="188"/>
    </row>
    <row r="130" spans="3:12" hidden="1" x14ac:dyDescent="0.25">
      <c r="C130" s="173">
        <v>93</v>
      </c>
      <c r="D130" s="173" t="s">
        <v>252</v>
      </c>
      <c r="E130" s="173" t="s">
        <v>33</v>
      </c>
      <c r="F130" s="174"/>
      <c r="G130" s="173"/>
      <c r="H130" s="174">
        <v>44936</v>
      </c>
      <c r="I130" s="174">
        <v>44936</v>
      </c>
      <c r="J130" s="173">
        <v>1</v>
      </c>
      <c r="K130" s="173">
        <v>1</v>
      </c>
      <c r="L130" s="188"/>
    </row>
    <row r="131" spans="3:12" hidden="1" x14ac:dyDescent="0.25">
      <c r="C131" s="173">
        <v>122</v>
      </c>
      <c r="D131" s="173" t="s">
        <v>256</v>
      </c>
      <c r="E131" s="173" t="s">
        <v>33</v>
      </c>
      <c r="F131" s="174"/>
      <c r="G131" s="173"/>
      <c r="H131" s="174">
        <v>44936</v>
      </c>
      <c r="I131" s="174">
        <v>44936</v>
      </c>
      <c r="J131" s="173">
        <v>1</v>
      </c>
      <c r="K131" s="173">
        <v>1</v>
      </c>
      <c r="L131" s="188"/>
    </row>
    <row r="132" spans="3:12" hidden="1" x14ac:dyDescent="0.25">
      <c r="C132" s="173">
        <v>384</v>
      </c>
      <c r="D132" s="173" t="s">
        <v>243</v>
      </c>
      <c r="E132" s="173" t="s">
        <v>33</v>
      </c>
      <c r="F132" s="174"/>
      <c r="G132" s="174"/>
      <c r="H132" s="174">
        <v>44936</v>
      </c>
      <c r="I132" s="174">
        <v>44936</v>
      </c>
      <c r="J132" s="173">
        <v>1</v>
      </c>
      <c r="K132" s="173">
        <v>1</v>
      </c>
      <c r="L132" s="188"/>
    </row>
    <row r="133" spans="3:12" hidden="1" x14ac:dyDescent="0.25">
      <c r="C133" s="173">
        <v>232</v>
      </c>
      <c r="D133" s="173" t="s">
        <v>257</v>
      </c>
      <c r="E133" s="173" t="s">
        <v>33</v>
      </c>
      <c r="F133" s="173"/>
      <c r="G133" s="173"/>
      <c r="H133" s="174">
        <v>44936</v>
      </c>
      <c r="I133" s="174">
        <v>44936</v>
      </c>
      <c r="J133" s="173">
        <v>1</v>
      </c>
      <c r="K133" s="173">
        <v>1</v>
      </c>
      <c r="L133" s="188"/>
    </row>
    <row r="134" spans="3:12" hidden="1" x14ac:dyDescent="0.25">
      <c r="C134" s="173">
        <v>255</v>
      </c>
      <c r="D134" s="173" t="s">
        <v>258</v>
      </c>
      <c r="E134" s="173" t="s">
        <v>34</v>
      </c>
      <c r="F134" s="174"/>
      <c r="G134" s="173"/>
      <c r="H134" s="174">
        <v>44936</v>
      </c>
      <c r="I134" s="174"/>
      <c r="J134" s="173">
        <v>1</v>
      </c>
      <c r="K134" s="173">
        <v>1</v>
      </c>
      <c r="L134" s="188"/>
    </row>
    <row r="135" spans="3:12" hidden="1" x14ac:dyDescent="0.25">
      <c r="C135" s="173">
        <v>385</v>
      </c>
      <c r="D135" s="173" t="s">
        <v>259</v>
      </c>
      <c r="E135" s="173" t="s">
        <v>33</v>
      </c>
      <c r="F135" s="174"/>
      <c r="G135" s="174"/>
      <c r="H135" s="174">
        <v>44937</v>
      </c>
      <c r="I135" s="174">
        <v>44937</v>
      </c>
      <c r="J135" s="173">
        <v>1</v>
      </c>
      <c r="K135" s="173">
        <v>1</v>
      </c>
      <c r="L135" s="188"/>
    </row>
    <row r="136" spans="3:12" hidden="1" x14ac:dyDescent="0.25">
      <c r="C136" s="173">
        <v>199</v>
      </c>
      <c r="D136" s="173" t="s">
        <v>250</v>
      </c>
      <c r="E136" s="173" t="s">
        <v>34</v>
      </c>
      <c r="F136" s="173"/>
      <c r="G136" s="174"/>
      <c r="H136" s="174">
        <v>44937</v>
      </c>
      <c r="I136" s="174"/>
      <c r="J136" s="173">
        <v>1</v>
      </c>
      <c r="K136" s="173">
        <v>1</v>
      </c>
      <c r="L136" s="188"/>
    </row>
    <row r="137" spans="3:12" hidden="1" x14ac:dyDescent="0.25">
      <c r="C137" s="173">
        <v>460</v>
      </c>
      <c r="D137" s="173" t="s">
        <v>233</v>
      </c>
      <c r="E137" s="173" t="s">
        <v>79</v>
      </c>
      <c r="F137" s="174"/>
      <c r="G137" s="173"/>
      <c r="H137" s="174">
        <v>44937</v>
      </c>
      <c r="I137" s="174">
        <v>44957</v>
      </c>
      <c r="J137" s="173">
        <v>21</v>
      </c>
      <c r="K137" s="173">
        <v>15</v>
      </c>
      <c r="L137" s="188"/>
    </row>
    <row r="138" spans="3:12" hidden="1" x14ac:dyDescent="0.25">
      <c r="C138" s="173">
        <v>463</v>
      </c>
      <c r="D138" s="173" t="s">
        <v>232</v>
      </c>
      <c r="E138" s="173" t="s">
        <v>79</v>
      </c>
      <c r="F138" s="174"/>
      <c r="G138" s="173"/>
      <c r="H138" s="174">
        <v>44937</v>
      </c>
      <c r="I138" s="174">
        <v>44950</v>
      </c>
      <c r="J138" s="173">
        <v>14</v>
      </c>
      <c r="K138" s="173">
        <v>10</v>
      </c>
      <c r="L138" s="188"/>
    </row>
    <row r="139" spans="3:12" hidden="1" x14ac:dyDescent="0.25">
      <c r="C139" s="173">
        <v>464</v>
      </c>
      <c r="D139" s="173" t="s">
        <v>234</v>
      </c>
      <c r="E139" s="173" t="s">
        <v>79</v>
      </c>
      <c r="F139" s="174"/>
      <c r="G139" s="173"/>
      <c r="H139" s="174">
        <v>44937</v>
      </c>
      <c r="I139" s="174">
        <v>44957</v>
      </c>
      <c r="J139" s="173">
        <v>21</v>
      </c>
      <c r="K139" s="173">
        <v>15</v>
      </c>
      <c r="L139" s="188"/>
    </row>
    <row r="140" spans="3:12" hidden="1" x14ac:dyDescent="0.25">
      <c r="C140" s="173">
        <v>469</v>
      </c>
      <c r="D140" s="173" t="s">
        <v>260</v>
      </c>
      <c r="E140" s="173" t="s">
        <v>79</v>
      </c>
      <c r="F140" s="174"/>
      <c r="G140" s="173"/>
      <c r="H140" s="174">
        <v>44937</v>
      </c>
      <c r="I140" s="174">
        <v>44942</v>
      </c>
      <c r="J140" s="173">
        <v>6</v>
      </c>
      <c r="K140" s="173">
        <v>4</v>
      </c>
      <c r="L140" s="188"/>
    </row>
    <row r="141" spans="3:12" hidden="1" x14ac:dyDescent="0.25">
      <c r="C141" s="173">
        <v>470</v>
      </c>
      <c r="D141" s="173" t="s">
        <v>238</v>
      </c>
      <c r="E141" s="173" t="s">
        <v>79</v>
      </c>
      <c r="F141" s="174"/>
      <c r="G141" s="173"/>
      <c r="H141" s="174">
        <v>44937</v>
      </c>
      <c r="I141" s="174">
        <v>44939</v>
      </c>
      <c r="J141" s="173">
        <v>3</v>
      </c>
      <c r="K141" s="173">
        <v>3</v>
      </c>
      <c r="L141" s="188"/>
    </row>
    <row r="142" spans="3:12" hidden="1" x14ac:dyDescent="0.25">
      <c r="C142" s="173">
        <v>253</v>
      </c>
      <c r="D142" s="173" t="s">
        <v>261</v>
      </c>
      <c r="E142" s="173" t="s">
        <v>43</v>
      </c>
      <c r="F142" s="174">
        <v>44933</v>
      </c>
      <c r="G142" s="173"/>
      <c r="H142" s="174">
        <v>44937</v>
      </c>
      <c r="I142" s="174"/>
      <c r="J142" s="173">
        <v>1</v>
      </c>
      <c r="K142" s="173">
        <v>1</v>
      </c>
      <c r="L142" s="188"/>
    </row>
    <row r="143" spans="3:12" hidden="1" x14ac:dyDescent="0.25">
      <c r="C143" s="173">
        <v>304</v>
      </c>
      <c r="D143" s="173" t="s">
        <v>262</v>
      </c>
      <c r="E143" s="173" t="s">
        <v>33</v>
      </c>
      <c r="F143" s="174"/>
      <c r="G143" s="173"/>
      <c r="H143" s="174">
        <v>44938</v>
      </c>
      <c r="I143" s="174">
        <v>44938</v>
      </c>
      <c r="J143" s="173">
        <v>1</v>
      </c>
      <c r="K143" s="173">
        <v>1</v>
      </c>
      <c r="L143" s="188"/>
    </row>
    <row r="144" spans="3:12" hidden="1" x14ac:dyDescent="0.25">
      <c r="C144" s="173">
        <v>319</v>
      </c>
      <c r="D144" s="173" t="s">
        <v>263</v>
      </c>
      <c r="E144" s="173" t="s">
        <v>34</v>
      </c>
      <c r="F144" s="174"/>
      <c r="G144" s="173"/>
      <c r="H144" s="174">
        <v>44938</v>
      </c>
      <c r="I144" s="174"/>
      <c r="J144" s="173">
        <v>1</v>
      </c>
      <c r="K144" s="173">
        <v>1</v>
      </c>
      <c r="L144" s="188"/>
    </row>
    <row r="145" spans="3:12" hidden="1" x14ac:dyDescent="0.25">
      <c r="C145" s="173">
        <v>142</v>
      </c>
      <c r="D145" s="173" t="s">
        <v>264</v>
      </c>
      <c r="E145" s="173" t="s">
        <v>43</v>
      </c>
      <c r="F145" s="174">
        <v>44933</v>
      </c>
      <c r="G145" s="173"/>
      <c r="H145" s="174">
        <v>44938</v>
      </c>
      <c r="I145" s="174"/>
      <c r="J145" s="173">
        <v>1</v>
      </c>
      <c r="K145" s="173">
        <v>1</v>
      </c>
      <c r="L145" s="188"/>
    </row>
    <row r="146" spans="3:12" hidden="1" x14ac:dyDescent="0.25">
      <c r="C146" s="173">
        <v>163</v>
      </c>
      <c r="D146" s="173" t="s">
        <v>265</v>
      </c>
      <c r="E146" s="173" t="s">
        <v>33</v>
      </c>
      <c r="F146" s="174"/>
      <c r="G146" s="174"/>
      <c r="H146" s="174">
        <v>44938</v>
      </c>
      <c r="I146" s="174">
        <v>44938</v>
      </c>
      <c r="J146" s="173">
        <v>1</v>
      </c>
      <c r="K146" s="173">
        <v>1</v>
      </c>
      <c r="L146" s="188"/>
    </row>
    <row r="147" spans="3:12" hidden="1" x14ac:dyDescent="0.25">
      <c r="C147" s="173">
        <v>471</v>
      </c>
      <c r="D147" s="173" t="s">
        <v>245</v>
      </c>
      <c r="E147" s="173" t="s">
        <v>79</v>
      </c>
      <c r="F147" s="174"/>
      <c r="G147" s="173"/>
      <c r="H147" s="174">
        <v>44938</v>
      </c>
      <c r="I147" s="174">
        <v>44939</v>
      </c>
      <c r="J147" s="173">
        <v>2</v>
      </c>
      <c r="K147" s="173">
        <v>2</v>
      </c>
      <c r="L147" s="188"/>
    </row>
    <row r="148" spans="3:12" hidden="1" x14ac:dyDescent="0.25">
      <c r="C148" s="173">
        <v>254</v>
      </c>
      <c r="D148" s="173" t="s">
        <v>258</v>
      </c>
      <c r="E148" s="173" t="s">
        <v>47</v>
      </c>
      <c r="F148" s="174"/>
      <c r="G148" s="174"/>
      <c r="H148" s="174">
        <v>44938</v>
      </c>
      <c r="I148" s="174">
        <v>44938</v>
      </c>
      <c r="J148" s="173">
        <v>1</v>
      </c>
      <c r="K148" s="173">
        <v>1</v>
      </c>
      <c r="L148" s="188"/>
    </row>
    <row r="149" spans="3:12" hidden="1" x14ac:dyDescent="0.25">
      <c r="C149" s="173">
        <v>263</v>
      </c>
      <c r="D149" s="173" t="s">
        <v>266</v>
      </c>
      <c r="E149" s="173" t="s">
        <v>33</v>
      </c>
      <c r="F149" s="173"/>
      <c r="G149" s="173"/>
      <c r="H149" s="174">
        <v>44939</v>
      </c>
      <c r="I149" s="174">
        <v>44939</v>
      </c>
      <c r="J149" s="173">
        <v>1</v>
      </c>
      <c r="K149" s="173">
        <v>1</v>
      </c>
      <c r="L149" s="188"/>
    </row>
    <row r="150" spans="3:12" hidden="1" x14ac:dyDescent="0.25">
      <c r="C150" s="173">
        <v>9</v>
      </c>
      <c r="D150" s="173" t="s">
        <v>247</v>
      </c>
      <c r="E150" s="173" t="s">
        <v>79</v>
      </c>
      <c r="F150" s="174"/>
      <c r="G150" s="173"/>
      <c r="H150" s="174">
        <v>44939</v>
      </c>
      <c r="I150" s="174">
        <v>44939</v>
      </c>
      <c r="J150" s="173">
        <v>1</v>
      </c>
      <c r="K150" s="173">
        <v>1</v>
      </c>
      <c r="L150" s="188" t="s">
        <v>267</v>
      </c>
    </row>
    <row r="151" spans="3:12" hidden="1" x14ac:dyDescent="0.25">
      <c r="C151" s="173">
        <v>271</v>
      </c>
      <c r="D151" s="173" t="s">
        <v>268</v>
      </c>
      <c r="E151" s="173" t="s">
        <v>33</v>
      </c>
      <c r="F151" s="174"/>
      <c r="G151" s="173"/>
      <c r="H151" s="174">
        <v>44939</v>
      </c>
      <c r="I151" s="174">
        <v>44939</v>
      </c>
      <c r="J151" s="173">
        <v>1</v>
      </c>
      <c r="K151" s="173">
        <v>1</v>
      </c>
      <c r="L151" s="188"/>
    </row>
    <row r="152" spans="3:12" hidden="1" x14ac:dyDescent="0.25">
      <c r="C152" s="173">
        <v>280</v>
      </c>
      <c r="D152" s="173" t="s">
        <v>246</v>
      </c>
      <c r="E152" s="173" t="s">
        <v>33</v>
      </c>
      <c r="F152" s="174"/>
      <c r="G152" s="173"/>
      <c r="H152" s="174">
        <v>44939</v>
      </c>
      <c r="I152" s="174">
        <v>44939</v>
      </c>
      <c r="J152" s="173">
        <v>1</v>
      </c>
      <c r="K152" s="173">
        <v>1</v>
      </c>
      <c r="L152" s="188"/>
    </row>
    <row r="153" spans="3:12" hidden="1" x14ac:dyDescent="0.25">
      <c r="C153" s="173">
        <v>44</v>
      </c>
      <c r="D153" s="173" t="s">
        <v>242</v>
      </c>
      <c r="E153" s="173" t="s">
        <v>47</v>
      </c>
      <c r="F153" s="174"/>
      <c r="G153" s="173"/>
      <c r="H153" s="174">
        <v>44939</v>
      </c>
      <c r="I153" s="174">
        <v>44939</v>
      </c>
      <c r="J153" s="173">
        <v>1</v>
      </c>
      <c r="K153" s="173">
        <v>1</v>
      </c>
      <c r="L153" s="188"/>
    </row>
    <row r="154" spans="3:12" hidden="1" x14ac:dyDescent="0.25">
      <c r="C154" s="173">
        <v>560</v>
      </c>
      <c r="D154" s="173" t="s">
        <v>237</v>
      </c>
      <c r="E154" s="173" t="s">
        <v>33</v>
      </c>
      <c r="F154" s="174"/>
      <c r="G154" s="173"/>
      <c r="H154" s="174">
        <v>44939</v>
      </c>
      <c r="I154" s="174">
        <v>44939</v>
      </c>
      <c r="J154" s="173">
        <v>1</v>
      </c>
      <c r="K154" s="173">
        <v>1</v>
      </c>
      <c r="L154" s="188"/>
    </row>
    <row r="155" spans="3:12" hidden="1" x14ac:dyDescent="0.25">
      <c r="C155" s="173">
        <v>53</v>
      </c>
      <c r="D155" s="173" t="s">
        <v>269</v>
      </c>
      <c r="E155" s="173" t="s">
        <v>33</v>
      </c>
      <c r="F155" s="173"/>
      <c r="G155" s="174"/>
      <c r="H155" s="174">
        <v>44939</v>
      </c>
      <c r="I155" s="174">
        <v>44939</v>
      </c>
      <c r="J155" s="173">
        <v>1</v>
      </c>
      <c r="K155" s="173">
        <v>1</v>
      </c>
      <c r="L155" s="188"/>
    </row>
    <row r="156" spans="3:12" hidden="1" x14ac:dyDescent="0.25">
      <c r="C156" s="173">
        <v>326</v>
      </c>
      <c r="D156" s="173" t="s">
        <v>270</v>
      </c>
      <c r="E156" s="173" t="s">
        <v>33</v>
      </c>
      <c r="F156" s="174"/>
      <c r="G156" s="173"/>
      <c r="H156" s="174">
        <v>44939</v>
      </c>
      <c r="I156" s="174">
        <v>44939</v>
      </c>
      <c r="J156" s="173">
        <v>1</v>
      </c>
      <c r="K156" s="173">
        <v>1</v>
      </c>
      <c r="L156" s="188"/>
    </row>
    <row r="157" spans="3:12" hidden="1" x14ac:dyDescent="0.25">
      <c r="C157" s="173">
        <v>71</v>
      </c>
      <c r="D157" s="173" t="s">
        <v>271</v>
      </c>
      <c r="E157" s="173" t="s">
        <v>33</v>
      </c>
      <c r="F157" s="173"/>
      <c r="G157" s="173"/>
      <c r="H157" s="174">
        <v>44939</v>
      </c>
      <c r="I157" s="174">
        <v>44939</v>
      </c>
      <c r="J157" s="173">
        <v>1</v>
      </c>
      <c r="K157" s="173">
        <v>1</v>
      </c>
      <c r="L157" s="188"/>
    </row>
    <row r="158" spans="3:12" hidden="1" x14ac:dyDescent="0.25">
      <c r="C158" s="173">
        <v>342</v>
      </c>
      <c r="D158" s="173" t="s">
        <v>272</v>
      </c>
      <c r="E158" s="173" t="s">
        <v>33</v>
      </c>
      <c r="F158" s="173"/>
      <c r="G158" s="173"/>
      <c r="H158" s="174">
        <v>44939</v>
      </c>
      <c r="I158" s="174">
        <v>44939</v>
      </c>
      <c r="J158" s="173">
        <v>1</v>
      </c>
      <c r="K158" s="173">
        <v>1</v>
      </c>
      <c r="L158" s="188"/>
    </row>
    <row r="159" spans="3:12" hidden="1" x14ac:dyDescent="0.25">
      <c r="C159" s="173">
        <v>357</v>
      </c>
      <c r="D159" s="173" t="s">
        <v>273</v>
      </c>
      <c r="E159" s="173" t="s">
        <v>33</v>
      </c>
      <c r="F159" s="174"/>
      <c r="G159" s="173"/>
      <c r="H159" s="174">
        <v>44939</v>
      </c>
      <c r="I159" s="174">
        <v>44939</v>
      </c>
      <c r="J159" s="173">
        <v>1</v>
      </c>
      <c r="K159" s="173">
        <v>1</v>
      </c>
      <c r="L159" s="188"/>
    </row>
    <row r="160" spans="3:12" hidden="1" x14ac:dyDescent="0.25">
      <c r="C160" s="173">
        <v>102</v>
      </c>
      <c r="D160" s="173" t="s">
        <v>240</v>
      </c>
      <c r="E160" s="173" t="s">
        <v>33</v>
      </c>
      <c r="F160" s="174"/>
      <c r="G160" s="174"/>
      <c r="H160" s="174">
        <v>44939</v>
      </c>
      <c r="I160" s="174">
        <v>44942</v>
      </c>
      <c r="J160" s="173">
        <v>4</v>
      </c>
      <c r="K160" s="173">
        <v>2</v>
      </c>
      <c r="L160" s="188"/>
    </row>
    <row r="161" spans="3:12" hidden="1" x14ac:dyDescent="0.25">
      <c r="C161" s="173">
        <v>379</v>
      </c>
      <c r="D161" s="173" t="s">
        <v>274</v>
      </c>
      <c r="E161" s="173" t="s">
        <v>43</v>
      </c>
      <c r="F161" s="174">
        <v>44933</v>
      </c>
      <c r="G161" s="173"/>
      <c r="H161" s="174">
        <v>44939</v>
      </c>
      <c r="I161" s="174"/>
      <c r="J161" s="173">
        <v>1</v>
      </c>
      <c r="K161" s="173">
        <v>1</v>
      </c>
      <c r="L161" s="188"/>
    </row>
    <row r="162" spans="3:12" hidden="1" x14ac:dyDescent="0.25">
      <c r="C162" s="173">
        <v>415</v>
      </c>
      <c r="D162" s="173" t="s">
        <v>249</v>
      </c>
      <c r="E162" s="173" t="s">
        <v>33</v>
      </c>
      <c r="F162" s="174"/>
      <c r="G162" s="174"/>
      <c r="H162" s="174">
        <v>44939</v>
      </c>
      <c r="I162" s="174">
        <v>44946</v>
      </c>
      <c r="J162" s="173">
        <v>8</v>
      </c>
      <c r="K162" s="173">
        <v>6</v>
      </c>
      <c r="L162" s="188"/>
    </row>
    <row r="163" spans="3:12" hidden="1" x14ac:dyDescent="0.25">
      <c r="C163" s="173">
        <v>162</v>
      </c>
      <c r="D163" s="173" t="s">
        <v>244</v>
      </c>
      <c r="E163" s="173" t="s">
        <v>33</v>
      </c>
      <c r="F163" s="173"/>
      <c r="G163" s="174"/>
      <c r="H163" s="174">
        <v>44939</v>
      </c>
      <c r="I163" s="174">
        <v>44939</v>
      </c>
      <c r="J163" s="173">
        <v>1</v>
      </c>
      <c r="K163" s="173">
        <v>1</v>
      </c>
      <c r="L163" s="188"/>
    </row>
    <row r="164" spans="3:12" hidden="1" x14ac:dyDescent="0.25">
      <c r="C164" s="173">
        <v>182</v>
      </c>
      <c r="D164" s="173" t="s">
        <v>275</v>
      </c>
      <c r="E164" s="173" t="s">
        <v>33</v>
      </c>
      <c r="F164" s="173"/>
      <c r="G164" s="174"/>
      <c r="H164" s="174">
        <v>44939</v>
      </c>
      <c r="I164" s="174">
        <v>44939</v>
      </c>
      <c r="J164" s="173">
        <v>1</v>
      </c>
      <c r="K164" s="173">
        <v>1</v>
      </c>
      <c r="L164" s="188"/>
    </row>
    <row r="165" spans="3:12" hidden="1" x14ac:dyDescent="0.25">
      <c r="C165" s="173">
        <v>472</v>
      </c>
      <c r="D165" s="173" t="s">
        <v>241</v>
      </c>
      <c r="E165" s="173" t="s">
        <v>79</v>
      </c>
      <c r="F165" s="174"/>
      <c r="G165" s="174"/>
      <c r="H165" s="174">
        <v>44939</v>
      </c>
      <c r="I165" s="174">
        <v>44944</v>
      </c>
      <c r="J165" s="173">
        <v>6</v>
      </c>
      <c r="K165" s="173">
        <v>4</v>
      </c>
      <c r="L165" s="188"/>
    </row>
    <row r="166" spans="3:12" hidden="1" x14ac:dyDescent="0.25">
      <c r="C166" s="173">
        <v>217</v>
      </c>
      <c r="D166" s="173" t="s">
        <v>276</v>
      </c>
      <c r="E166" s="173" t="s">
        <v>33</v>
      </c>
      <c r="F166" s="174"/>
      <c r="G166" s="174"/>
      <c r="H166" s="174">
        <v>44939</v>
      </c>
      <c r="I166" s="174">
        <v>44939</v>
      </c>
      <c r="J166" s="173">
        <v>1</v>
      </c>
      <c r="K166" s="173">
        <v>1</v>
      </c>
      <c r="L166" s="188"/>
    </row>
    <row r="167" spans="3:12" hidden="1" x14ac:dyDescent="0.25">
      <c r="C167" s="173">
        <v>474</v>
      </c>
      <c r="D167" s="173" t="s">
        <v>277</v>
      </c>
      <c r="E167" s="173" t="s">
        <v>79</v>
      </c>
      <c r="F167" s="174"/>
      <c r="G167" s="174"/>
      <c r="H167" s="174">
        <v>44939</v>
      </c>
      <c r="I167" s="174">
        <v>44944</v>
      </c>
      <c r="J167" s="173">
        <v>6</v>
      </c>
      <c r="K167" s="173">
        <v>4</v>
      </c>
      <c r="L167" s="188"/>
    </row>
    <row r="168" spans="3:12" hidden="1" x14ac:dyDescent="0.25">
      <c r="C168" s="173">
        <v>223</v>
      </c>
      <c r="D168" s="173" t="s">
        <v>278</v>
      </c>
      <c r="E168" s="173" t="s">
        <v>33</v>
      </c>
      <c r="F168" s="174"/>
      <c r="G168" s="174"/>
      <c r="H168" s="174">
        <v>44939</v>
      </c>
      <c r="I168" s="174">
        <v>44939</v>
      </c>
      <c r="J168" s="173">
        <v>1</v>
      </c>
      <c r="K168" s="173">
        <v>1</v>
      </c>
      <c r="L168" s="188"/>
    </row>
    <row r="169" spans="3:12" hidden="1" x14ac:dyDescent="0.25">
      <c r="C169" s="173">
        <v>225</v>
      </c>
      <c r="D169" s="173" t="s">
        <v>279</v>
      </c>
      <c r="E169" s="173" t="s">
        <v>33</v>
      </c>
      <c r="F169" s="174"/>
      <c r="G169" s="174"/>
      <c r="H169" s="174">
        <v>44939</v>
      </c>
      <c r="I169" s="174">
        <v>44939</v>
      </c>
      <c r="J169" s="173">
        <v>1</v>
      </c>
      <c r="K169" s="173">
        <v>1</v>
      </c>
      <c r="L169" s="188"/>
    </row>
    <row r="170" spans="3:12" hidden="1" x14ac:dyDescent="0.25">
      <c r="C170" s="173">
        <v>228</v>
      </c>
      <c r="D170" s="173" t="s">
        <v>280</v>
      </c>
      <c r="E170" s="173" t="s">
        <v>43</v>
      </c>
      <c r="F170" s="174">
        <v>44926</v>
      </c>
      <c r="G170" s="174"/>
      <c r="H170" s="174">
        <v>44939</v>
      </c>
      <c r="I170" s="174"/>
      <c r="J170" s="173">
        <v>1</v>
      </c>
      <c r="K170" s="173">
        <v>1</v>
      </c>
      <c r="L170" s="188"/>
    </row>
    <row r="171" spans="3:12" hidden="1" x14ac:dyDescent="0.25">
      <c r="C171" s="173">
        <v>467</v>
      </c>
      <c r="D171" s="173" t="s">
        <v>235</v>
      </c>
      <c r="E171" s="173" t="s">
        <v>79</v>
      </c>
      <c r="F171" s="174"/>
      <c r="G171" s="174"/>
      <c r="H171" s="174">
        <v>44940</v>
      </c>
      <c r="I171" s="174">
        <v>44946</v>
      </c>
      <c r="J171" s="173">
        <v>7</v>
      </c>
      <c r="K171" s="173">
        <v>5</v>
      </c>
      <c r="L171" s="188"/>
    </row>
    <row r="172" spans="3:12" hidden="1" x14ac:dyDescent="0.25">
      <c r="C172" s="173">
        <v>473</v>
      </c>
      <c r="D172" s="173" t="s">
        <v>236</v>
      </c>
      <c r="E172" s="173" t="s">
        <v>79</v>
      </c>
      <c r="F172" s="174"/>
      <c r="G172" s="174"/>
      <c r="H172" s="174">
        <v>44940</v>
      </c>
      <c r="I172" s="174">
        <v>44946</v>
      </c>
      <c r="J172" s="173">
        <v>7</v>
      </c>
      <c r="K172" s="173">
        <v>5</v>
      </c>
      <c r="L172" s="188"/>
    </row>
    <row r="173" spans="3:12" hidden="1" x14ac:dyDescent="0.25">
      <c r="C173" s="173">
        <v>473</v>
      </c>
      <c r="D173" s="173" t="s">
        <v>236</v>
      </c>
      <c r="E173" s="173" t="s">
        <v>79</v>
      </c>
      <c r="F173" s="173"/>
      <c r="G173" s="174"/>
      <c r="H173" s="174">
        <v>44940</v>
      </c>
      <c r="I173" s="174">
        <v>44946</v>
      </c>
      <c r="J173" s="173">
        <v>7</v>
      </c>
      <c r="K173" s="173">
        <v>5</v>
      </c>
      <c r="L173" s="188"/>
    </row>
    <row r="174" spans="3:12" hidden="1" x14ac:dyDescent="0.25">
      <c r="C174" s="173"/>
      <c r="D174" s="173"/>
      <c r="E174" s="173"/>
      <c r="F174" s="174"/>
      <c r="G174" s="174"/>
      <c r="H174" s="174"/>
      <c r="I174" s="174"/>
      <c r="J174" s="173"/>
      <c r="K174" s="173"/>
      <c r="L174" s="188"/>
    </row>
    <row r="175" spans="3:12" hidden="1" x14ac:dyDescent="0.25">
      <c r="C175" s="173"/>
      <c r="D175" s="173"/>
      <c r="E175" s="173"/>
      <c r="F175" s="174"/>
      <c r="G175" s="174"/>
      <c r="H175" s="174"/>
      <c r="I175" s="174"/>
      <c r="J175" s="173"/>
      <c r="K175" s="173"/>
      <c r="L175" s="188"/>
    </row>
    <row r="176" spans="3:12" hidden="1" x14ac:dyDescent="0.25">
      <c r="C176" s="173"/>
      <c r="D176" s="173"/>
      <c r="E176" s="173"/>
      <c r="F176" s="174"/>
      <c r="G176" s="173"/>
      <c r="H176" s="174"/>
      <c r="I176" s="174"/>
      <c r="J176" s="173"/>
      <c r="K176" s="173"/>
      <c r="L176" s="188"/>
    </row>
    <row r="177" spans="3:12" hidden="1" x14ac:dyDescent="0.25">
      <c r="C177" s="173"/>
      <c r="D177" s="173"/>
      <c r="E177" s="173"/>
      <c r="F177" s="174"/>
      <c r="G177" s="174"/>
      <c r="H177" s="174"/>
      <c r="I177" s="174"/>
      <c r="J177" s="173"/>
      <c r="K177" s="173"/>
      <c r="L177" s="188"/>
    </row>
    <row r="178" spans="3:12" hidden="1" x14ac:dyDescent="0.25">
      <c r="C178" s="173"/>
      <c r="D178" s="173"/>
      <c r="E178" s="173"/>
      <c r="F178" s="174"/>
      <c r="G178" s="174"/>
      <c r="H178" s="174"/>
      <c r="I178" s="174"/>
      <c r="J178" s="173"/>
      <c r="K178" s="173"/>
      <c r="L178" s="188"/>
    </row>
    <row r="179" spans="3:12" hidden="1" x14ac:dyDescent="0.25">
      <c r="C179" s="173"/>
      <c r="D179" s="173"/>
      <c r="E179" s="173"/>
      <c r="F179" s="174"/>
      <c r="G179" s="174"/>
      <c r="H179" s="174"/>
      <c r="I179" s="174"/>
      <c r="J179" s="173"/>
      <c r="K179" s="173"/>
      <c r="L179" s="188"/>
    </row>
    <row r="180" spans="3:12" hidden="1" x14ac:dyDescent="0.25">
      <c r="C180" s="173"/>
      <c r="D180" s="173"/>
      <c r="E180" s="173"/>
      <c r="F180" s="173"/>
      <c r="G180" s="173"/>
      <c r="H180" s="174"/>
      <c r="I180" s="174"/>
      <c r="J180" s="173"/>
      <c r="K180" s="173"/>
      <c r="L180" s="188"/>
    </row>
    <row r="181" spans="3:12" hidden="1" x14ac:dyDescent="0.25">
      <c r="C181" s="173"/>
      <c r="D181" s="173"/>
      <c r="E181" s="173"/>
      <c r="F181" s="174"/>
      <c r="G181" s="173"/>
      <c r="H181" s="174"/>
      <c r="I181" s="174"/>
      <c r="J181" s="173"/>
      <c r="K181" s="173"/>
      <c r="L181" s="188"/>
    </row>
    <row r="182" spans="3:12" hidden="1" x14ac:dyDescent="0.25">
      <c r="C182" s="173"/>
      <c r="D182" s="173"/>
      <c r="E182" s="173"/>
      <c r="F182" s="173"/>
      <c r="G182" s="173"/>
      <c r="H182" s="174"/>
      <c r="I182" s="174"/>
      <c r="J182" s="173"/>
      <c r="K182" s="173"/>
      <c r="L182" s="188"/>
    </row>
    <row r="183" spans="3:12" hidden="1" x14ac:dyDescent="0.25">
      <c r="C183" s="173"/>
      <c r="D183" s="173"/>
      <c r="E183" s="173"/>
      <c r="F183" s="174"/>
      <c r="G183" s="174"/>
      <c r="H183" s="174"/>
      <c r="I183" s="174"/>
      <c r="J183" s="173"/>
      <c r="K183" s="173"/>
      <c r="L183" s="188"/>
    </row>
    <row r="184" spans="3:12" hidden="1" x14ac:dyDescent="0.25">
      <c r="C184" s="173"/>
      <c r="D184" s="173"/>
      <c r="E184" s="173"/>
      <c r="F184" s="174"/>
      <c r="G184" s="174"/>
      <c r="H184" s="174"/>
      <c r="I184" s="174"/>
      <c r="J184" s="173"/>
      <c r="K184" s="173"/>
      <c r="L184" s="188"/>
    </row>
    <row r="185" spans="3:12" hidden="1" x14ac:dyDescent="0.25">
      <c r="C185" s="173"/>
      <c r="D185" s="173"/>
      <c r="E185" s="173"/>
      <c r="F185" s="174"/>
      <c r="G185" s="174"/>
      <c r="H185" s="174"/>
      <c r="I185" s="174"/>
      <c r="J185" s="173"/>
      <c r="K185" s="173"/>
      <c r="L185" s="188"/>
    </row>
    <row r="186" spans="3:12" hidden="1" x14ac:dyDescent="0.25">
      <c r="C186" s="173"/>
      <c r="D186" s="173"/>
      <c r="E186" s="173"/>
      <c r="F186" s="174"/>
      <c r="G186" s="174"/>
      <c r="H186" s="174"/>
      <c r="I186" s="174"/>
      <c r="J186" s="173"/>
      <c r="K186" s="173"/>
      <c r="L186" s="188"/>
    </row>
    <row r="187" spans="3:12" hidden="1" x14ac:dyDescent="0.25">
      <c r="C187" s="173"/>
      <c r="D187" s="173"/>
      <c r="E187" s="173"/>
      <c r="F187" s="174"/>
      <c r="G187" s="174"/>
      <c r="H187" s="174"/>
      <c r="I187" s="174"/>
      <c r="J187" s="173"/>
      <c r="K187" s="173"/>
      <c r="L187" s="188"/>
    </row>
    <row r="188" spans="3:12" hidden="1" x14ac:dyDescent="0.25">
      <c r="C188" s="173"/>
      <c r="D188" s="173"/>
      <c r="E188" s="173"/>
      <c r="F188" s="174"/>
      <c r="G188" s="174"/>
      <c r="H188" s="174"/>
      <c r="I188" s="174"/>
      <c r="J188" s="173"/>
      <c r="K188" s="173"/>
      <c r="L188" s="188"/>
    </row>
    <row r="189" spans="3:12" hidden="1" x14ac:dyDescent="0.25">
      <c r="C189" s="173"/>
      <c r="D189" s="173"/>
      <c r="E189" s="173"/>
      <c r="F189" s="173"/>
      <c r="G189" s="174"/>
      <c r="H189" s="174"/>
      <c r="I189" s="174"/>
      <c r="J189" s="173"/>
      <c r="K189" s="173"/>
      <c r="L189" s="188"/>
    </row>
    <row r="190" spans="3:12" hidden="1" x14ac:dyDescent="0.25">
      <c r="C190" s="173"/>
      <c r="D190" s="173"/>
      <c r="E190" s="173"/>
      <c r="F190" s="174"/>
      <c r="G190" s="174"/>
      <c r="H190" s="174"/>
      <c r="I190" s="174"/>
      <c r="J190" s="173"/>
      <c r="K190" s="173"/>
      <c r="L190" s="188"/>
    </row>
    <row r="191" spans="3:12" hidden="1" x14ac:dyDescent="0.25">
      <c r="C191" s="173"/>
      <c r="D191" s="173"/>
      <c r="E191" s="173"/>
      <c r="F191" s="173"/>
      <c r="G191" s="173"/>
      <c r="H191" s="174"/>
      <c r="I191" s="174"/>
      <c r="J191" s="173"/>
      <c r="K191" s="173"/>
      <c r="L191" s="188"/>
    </row>
    <row r="192" spans="3:12" hidden="1" x14ac:dyDescent="0.25">
      <c r="C192" s="173"/>
      <c r="D192" s="173"/>
      <c r="E192" s="173"/>
      <c r="F192" s="174"/>
      <c r="G192" s="174"/>
      <c r="H192" s="174"/>
      <c r="I192" s="174"/>
      <c r="J192" s="173"/>
      <c r="K192" s="173"/>
      <c r="L192" s="188"/>
    </row>
    <row r="193" spans="3:12" hidden="1" x14ac:dyDescent="0.25">
      <c r="C193" s="173"/>
      <c r="D193" s="173"/>
      <c r="E193" s="173"/>
      <c r="F193" s="174"/>
      <c r="G193" s="173"/>
      <c r="H193" s="174"/>
      <c r="I193" s="174"/>
      <c r="J193" s="173"/>
      <c r="K193" s="173"/>
      <c r="L193" s="188"/>
    </row>
    <row r="194" spans="3:12" hidden="1" x14ac:dyDescent="0.25">
      <c r="C194" s="173"/>
      <c r="D194" s="173"/>
      <c r="E194" s="173"/>
      <c r="F194" s="174"/>
      <c r="G194" s="174"/>
      <c r="H194" s="174"/>
      <c r="I194" s="174"/>
      <c r="J194" s="173"/>
      <c r="K194" s="173"/>
      <c r="L194" s="188"/>
    </row>
    <row r="195" spans="3:12" hidden="1" x14ac:dyDescent="0.25">
      <c r="C195" s="173"/>
      <c r="D195" s="173"/>
      <c r="E195" s="173"/>
      <c r="F195" s="174"/>
      <c r="G195" s="174"/>
      <c r="H195" s="174"/>
      <c r="I195" s="174"/>
      <c r="J195" s="173"/>
      <c r="K195" s="173"/>
      <c r="L195" s="188"/>
    </row>
    <row r="196" spans="3:12" hidden="1" x14ac:dyDescent="0.25">
      <c r="C196" s="173"/>
      <c r="D196" s="173"/>
      <c r="E196" s="173"/>
      <c r="F196" s="174"/>
      <c r="G196" s="174"/>
      <c r="H196" s="174"/>
      <c r="I196" s="174"/>
      <c r="J196" s="173"/>
      <c r="K196" s="173"/>
      <c r="L196" s="188"/>
    </row>
    <row r="197" spans="3:12" hidden="1" x14ac:dyDescent="0.25">
      <c r="C197" s="173"/>
      <c r="D197" s="173"/>
      <c r="E197" s="173"/>
      <c r="F197" s="174"/>
      <c r="G197" s="174"/>
      <c r="H197" s="174"/>
      <c r="I197" s="174"/>
      <c r="J197" s="173"/>
      <c r="K197" s="173"/>
      <c r="L197" s="188"/>
    </row>
    <row r="198" spans="3:12" hidden="1" x14ac:dyDescent="0.25">
      <c r="C198" s="173"/>
      <c r="D198" s="173"/>
      <c r="E198" s="173"/>
      <c r="F198" s="174"/>
      <c r="G198" s="174"/>
      <c r="H198" s="174"/>
      <c r="I198" s="174"/>
      <c r="J198" s="173"/>
      <c r="K198" s="173"/>
      <c r="L198" s="188"/>
    </row>
    <row r="199" spans="3:12" hidden="1" x14ac:dyDescent="0.25">
      <c r="C199" s="173"/>
      <c r="D199" s="173"/>
      <c r="E199" s="173"/>
      <c r="F199" s="174"/>
      <c r="G199" s="174"/>
      <c r="H199" s="174"/>
      <c r="I199" s="174"/>
      <c r="J199" s="173"/>
      <c r="K199" s="173"/>
      <c r="L199" s="188"/>
    </row>
    <row r="200" spans="3:12" hidden="1" x14ac:dyDescent="0.25">
      <c r="C200" s="173"/>
      <c r="D200" s="173"/>
      <c r="E200" s="173"/>
      <c r="F200" s="174"/>
      <c r="G200" s="174"/>
      <c r="H200" s="174"/>
      <c r="I200" s="174"/>
      <c r="J200" s="173"/>
      <c r="K200" s="173"/>
      <c r="L200" s="188"/>
    </row>
    <row r="201" spans="3:12" hidden="1" x14ac:dyDescent="0.25">
      <c r="C201" s="173"/>
      <c r="D201" s="173"/>
      <c r="E201" s="173"/>
      <c r="F201" s="174"/>
      <c r="G201" s="174"/>
      <c r="H201" s="174"/>
      <c r="I201" s="174"/>
      <c r="J201" s="173"/>
      <c r="K201" s="173"/>
      <c r="L201" s="188"/>
    </row>
    <row r="202" spans="3:12" hidden="1" x14ac:dyDescent="0.25">
      <c r="C202" s="173"/>
      <c r="D202" s="173"/>
      <c r="E202" s="173"/>
      <c r="F202" s="174"/>
      <c r="G202" s="173"/>
      <c r="H202" s="174"/>
      <c r="I202" s="174"/>
      <c r="J202" s="173"/>
      <c r="K202" s="173"/>
      <c r="L202" s="188"/>
    </row>
    <row r="203" spans="3:12" hidden="1" x14ac:dyDescent="0.25">
      <c r="C203" s="173"/>
      <c r="D203" s="173"/>
      <c r="E203" s="173"/>
      <c r="F203" s="174"/>
      <c r="G203" s="173"/>
      <c r="H203" s="174"/>
      <c r="I203" s="174"/>
      <c r="J203" s="173"/>
      <c r="K203" s="173"/>
      <c r="L203" s="188"/>
    </row>
    <row r="204" spans="3:12" hidden="1" x14ac:dyDescent="0.25">
      <c r="C204" s="173"/>
      <c r="D204" s="173"/>
      <c r="E204" s="173"/>
      <c r="F204" s="174"/>
      <c r="G204" s="173"/>
      <c r="H204" s="174"/>
      <c r="I204" s="174"/>
      <c r="J204" s="173"/>
      <c r="K204" s="173"/>
      <c r="L204" s="188"/>
    </row>
    <row r="205" spans="3:12" hidden="1" x14ac:dyDescent="0.25">
      <c r="C205" s="173"/>
      <c r="D205" s="173"/>
      <c r="E205" s="173"/>
      <c r="F205" s="174"/>
      <c r="G205" s="174"/>
      <c r="H205" s="174"/>
      <c r="I205" s="174"/>
      <c r="J205" s="173"/>
      <c r="K205" s="173"/>
      <c r="L205" s="188"/>
    </row>
    <row r="206" spans="3:12" hidden="1" x14ac:dyDescent="0.25">
      <c r="C206" s="173"/>
      <c r="D206" s="173"/>
      <c r="E206" s="173"/>
      <c r="F206" s="173"/>
      <c r="G206" s="173"/>
      <c r="H206" s="174"/>
      <c r="I206" s="174"/>
      <c r="J206" s="173"/>
      <c r="K206" s="173"/>
      <c r="L206" s="188"/>
    </row>
    <row r="207" spans="3:12" hidden="1" x14ac:dyDescent="0.25">
      <c r="C207" s="173"/>
      <c r="D207" s="173"/>
      <c r="E207" s="173"/>
      <c r="F207" s="174"/>
      <c r="G207" s="174"/>
      <c r="H207" s="174"/>
      <c r="I207" s="174"/>
      <c r="J207" s="173"/>
      <c r="K207" s="173"/>
      <c r="L207" s="188"/>
    </row>
    <row r="208" spans="3:12" hidden="1" x14ac:dyDescent="0.25">
      <c r="C208" s="173"/>
      <c r="D208" s="173"/>
      <c r="E208" s="173"/>
      <c r="F208" s="174"/>
      <c r="G208" s="174"/>
      <c r="H208" s="174"/>
      <c r="I208" s="174"/>
      <c r="J208" s="173"/>
      <c r="K208" s="173"/>
      <c r="L208" s="188"/>
    </row>
    <row r="209" spans="3:12" hidden="1" x14ac:dyDescent="0.25">
      <c r="C209" s="173"/>
      <c r="D209" s="173"/>
      <c r="E209" s="173"/>
      <c r="F209" s="173"/>
      <c r="G209" s="174"/>
      <c r="H209" s="174"/>
      <c r="I209" s="174"/>
      <c r="J209" s="173"/>
      <c r="K209" s="173"/>
      <c r="L209" s="188"/>
    </row>
    <row r="210" spans="3:12" hidden="1" x14ac:dyDescent="0.25">
      <c r="C210" s="173"/>
      <c r="D210" s="173"/>
      <c r="E210" s="173"/>
      <c r="F210" s="174"/>
      <c r="G210" s="174"/>
      <c r="H210" s="174"/>
      <c r="I210" s="174"/>
      <c r="J210" s="173"/>
      <c r="K210" s="173"/>
      <c r="L210" s="188"/>
    </row>
    <row r="211" spans="3:12" hidden="1" x14ac:dyDescent="0.25">
      <c r="C211" s="173"/>
      <c r="D211" s="173"/>
      <c r="E211" s="173"/>
      <c r="F211" s="173"/>
      <c r="G211" s="174"/>
      <c r="H211" s="174"/>
      <c r="I211" s="174"/>
      <c r="J211" s="173"/>
      <c r="K211" s="173"/>
      <c r="L211" s="188"/>
    </row>
    <row r="212" spans="3:12" hidden="1" x14ac:dyDescent="0.25">
      <c r="C212" s="173"/>
      <c r="D212" s="173"/>
      <c r="E212" s="173"/>
      <c r="F212" s="174"/>
      <c r="G212" s="174"/>
      <c r="H212" s="174"/>
      <c r="I212" s="174"/>
      <c r="J212" s="173"/>
      <c r="K212" s="173"/>
      <c r="L212" s="188"/>
    </row>
    <row r="213" spans="3:12" hidden="1" x14ac:dyDescent="0.25">
      <c r="C213" s="173"/>
      <c r="D213" s="173"/>
      <c r="E213" s="173"/>
      <c r="F213" s="174"/>
      <c r="G213" s="174"/>
      <c r="H213" s="174"/>
      <c r="I213" s="174"/>
      <c r="J213" s="173"/>
      <c r="K213" s="173"/>
      <c r="L213" s="188"/>
    </row>
    <row r="214" spans="3:12" hidden="1" x14ac:dyDescent="0.25">
      <c r="C214" s="173"/>
      <c r="D214" s="173"/>
      <c r="E214" s="173"/>
      <c r="F214" s="174"/>
      <c r="G214" s="174"/>
      <c r="H214" s="174"/>
      <c r="I214" s="174"/>
      <c r="J214" s="173"/>
      <c r="K214" s="173"/>
      <c r="L214" s="188"/>
    </row>
    <row r="215" spans="3:12" hidden="1" x14ac:dyDescent="0.25">
      <c r="C215" s="173"/>
      <c r="D215" s="173"/>
      <c r="E215" s="173"/>
      <c r="F215" s="173"/>
      <c r="G215" s="174"/>
      <c r="H215" s="174"/>
      <c r="I215" s="174"/>
      <c r="J215" s="173"/>
      <c r="K215" s="173"/>
      <c r="L215" s="188"/>
    </row>
    <row r="216" spans="3:12" hidden="1" x14ac:dyDescent="0.25">
      <c r="C216" s="173"/>
      <c r="D216" s="173"/>
      <c r="E216" s="173"/>
      <c r="F216" s="174"/>
      <c r="G216" s="174"/>
      <c r="H216" s="174"/>
      <c r="I216" s="174"/>
      <c r="J216" s="173"/>
      <c r="K216" s="173"/>
      <c r="L216" s="188"/>
    </row>
    <row r="217" spans="3:12" hidden="1" x14ac:dyDescent="0.25">
      <c r="C217" s="173"/>
      <c r="D217" s="173"/>
      <c r="E217" s="173"/>
      <c r="F217" s="174"/>
      <c r="G217" s="174"/>
      <c r="H217" s="174"/>
      <c r="I217" s="174"/>
      <c r="J217" s="173"/>
      <c r="K217" s="173"/>
      <c r="L217" s="188"/>
    </row>
    <row r="218" spans="3:12" hidden="1" x14ac:dyDescent="0.25">
      <c r="C218" s="173"/>
      <c r="D218" s="173"/>
      <c r="E218" s="173"/>
      <c r="F218" s="174"/>
      <c r="G218" s="173"/>
      <c r="H218" s="174"/>
      <c r="I218" s="174"/>
      <c r="J218" s="173"/>
      <c r="K218" s="173"/>
      <c r="L218" s="188"/>
    </row>
    <row r="219" spans="3:12" hidden="1" x14ac:dyDescent="0.25">
      <c r="C219" s="173"/>
      <c r="D219" s="173"/>
      <c r="E219" s="173"/>
      <c r="F219" s="174"/>
      <c r="G219" s="173"/>
      <c r="H219" s="174"/>
      <c r="I219" s="174"/>
      <c r="J219" s="173"/>
      <c r="K219" s="173"/>
      <c r="L219" s="188"/>
    </row>
    <row r="220" spans="3:12" hidden="1" x14ac:dyDescent="0.25">
      <c r="C220" s="173"/>
      <c r="D220" s="173"/>
      <c r="E220" s="173"/>
      <c r="F220" s="174"/>
      <c r="G220" s="173"/>
      <c r="H220" s="174"/>
      <c r="I220" s="174"/>
      <c r="J220" s="173"/>
      <c r="K220" s="173"/>
      <c r="L220" s="188"/>
    </row>
    <row r="221" spans="3:12" hidden="1" x14ac:dyDescent="0.25">
      <c r="C221" s="173"/>
      <c r="D221" s="173"/>
      <c r="E221" s="173"/>
      <c r="F221" s="174"/>
      <c r="G221" s="174"/>
      <c r="H221" s="174"/>
      <c r="I221" s="174"/>
      <c r="J221" s="173"/>
      <c r="K221" s="173"/>
      <c r="L221" s="188"/>
    </row>
    <row r="222" spans="3:12" hidden="1" x14ac:dyDescent="0.25">
      <c r="C222" s="173"/>
      <c r="D222" s="173"/>
      <c r="E222" s="173"/>
      <c r="F222" s="174"/>
      <c r="G222" s="174"/>
      <c r="H222" s="174"/>
      <c r="I222" s="174"/>
      <c r="J222" s="173"/>
      <c r="K222" s="173"/>
      <c r="L222" s="188"/>
    </row>
    <row r="223" spans="3:12" hidden="1" x14ac:dyDescent="0.25">
      <c r="C223" s="173"/>
      <c r="D223" s="173"/>
      <c r="E223" s="173"/>
      <c r="F223" s="174"/>
      <c r="G223" s="174"/>
      <c r="H223" s="174"/>
      <c r="I223" s="174"/>
      <c r="J223" s="173"/>
      <c r="K223" s="173"/>
      <c r="L223" s="188"/>
    </row>
    <row r="224" spans="3:12" hidden="1" x14ac:dyDescent="0.25">
      <c r="C224" s="173"/>
      <c r="D224" s="173"/>
      <c r="E224" s="173"/>
      <c r="F224" s="174"/>
      <c r="G224" s="174"/>
      <c r="H224" s="174"/>
      <c r="I224" s="174"/>
      <c r="J224" s="173"/>
      <c r="K224" s="173"/>
      <c r="L224" s="188"/>
    </row>
    <row r="225" spans="3:12" hidden="1" x14ac:dyDescent="0.25">
      <c r="C225" s="173"/>
      <c r="D225" s="173"/>
      <c r="E225" s="173"/>
      <c r="F225" s="174"/>
      <c r="G225" s="174"/>
      <c r="H225" s="174"/>
      <c r="I225" s="174"/>
      <c r="J225" s="173"/>
      <c r="K225" s="173"/>
      <c r="L225" s="188"/>
    </row>
    <row r="226" spans="3:12" hidden="1" x14ac:dyDescent="0.25">
      <c r="C226" s="173"/>
      <c r="D226" s="173"/>
      <c r="E226" s="173"/>
      <c r="F226" s="174"/>
      <c r="G226" s="174"/>
      <c r="H226" s="174"/>
      <c r="I226" s="174"/>
      <c r="J226" s="173"/>
      <c r="K226" s="173"/>
      <c r="L226" s="188"/>
    </row>
    <row r="227" spans="3:12" hidden="1" x14ac:dyDescent="0.25">
      <c r="C227" s="173"/>
      <c r="D227" s="173"/>
      <c r="E227" s="173"/>
      <c r="F227" s="173"/>
      <c r="G227" s="174"/>
      <c r="H227" s="174"/>
      <c r="I227" s="174"/>
      <c r="J227" s="173"/>
      <c r="K227" s="173"/>
      <c r="L227" s="188"/>
    </row>
    <row r="228" spans="3:12" hidden="1" x14ac:dyDescent="0.25">
      <c r="C228" s="173"/>
      <c r="D228" s="173"/>
      <c r="E228" s="173"/>
      <c r="F228" s="173"/>
      <c r="G228" s="174"/>
      <c r="H228" s="174"/>
      <c r="I228" s="174"/>
      <c r="J228" s="173"/>
      <c r="K228" s="173"/>
      <c r="L228" s="188"/>
    </row>
    <row r="229" spans="3:12" hidden="1" x14ac:dyDescent="0.25">
      <c r="C229" s="173"/>
      <c r="D229" s="173"/>
      <c r="E229" s="173"/>
      <c r="F229" s="173"/>
      <c r="G229" s="174"/>
      <c r="H229" s="174"/>
      <c r="I229" s="174"/>
      <c r="J229" s="173"/>
      <c r="K229" s="173"/>
      <c r="L229" s="188"/>
    </row>
    <row r="230" spans="3:12" hidden="1" x14ac:dyDescent="0.25">
      <c r="C230" s="173"/>
      <c r="D230" s="173"/>
      <c r="E230" s="173"/>
      <c r="F230" s="174"/>
      <c r="G230" s="174"/>
      <c r="H230" s="174"/>
      <c r="I230" s="174"/>
      <c r="J230" s="173"/>
      <c r="K230" s="173"/>
      <c r="L230" s="188"/>
    </row>
    <row r="231" spans="3:12" hidden="1" x14ac:dyDescent="0.25">
      <c r="C231" s="173"/>
      <c r="D231" s="173"/>
      <c r="E231" s="173"/>
      <c r="F231" s="173"/>
      <c r="G231" s="174"/>
      <c r="H231" s="174"/>
      <c r="I231" s="174"/>
      <c r="J231" s="173"/>
      <c r="K231" s="173"/>
      <c r="L231" s="188"/>
    </row>
    <row r="232" spans="3:12" hidden="1" x14ac:dyDescent="0.25">
      <c r="C232" s="173"/>
      <c r="D232" s="173"/>
      <c r="E232" s="173"/>
      <c r="F232" s="174"/>
      <c r="G232" s="174"/>
      <c r="H232" s="174"/>
      <c r="I232" s="174"/>
      <c r="J232" s="173"/>
      <c r="K232" s="173"/>
      <c r="L232" s="188"/>
    </row>
    <row r="233" spans="3:12" hidden="1" x14ac:dyDescent="0.25">
      <c r="C233" s="173"/>
      <c r="D233" s="173"/>
      <c r="E233" s="173"/>
      <c r="F233" s="173"/>
      <c r="G233" s="174"/>
      <c r="H233" s="174"/>
      <c r="I233" s="174"/>
      <c r="J233" s="173"/>
      <c r="K233" s="173"/>
      <c r="L233" s="188"/>
    </row>
    <row r="234" spans="3:12" hidden="1" x14ac:dyDescent="0.25">
      <c r="C234" s="173"/>
      <c r="D234" s="173"/>
      <c r="E234" s="173"/>
      <c r="F234" s="174"/>
      <c r="G234" s="174"/>
      <c r="H234" s="174"/>
      <c r="I234" s="174"/>
      <c r="J234" s="173"/>
      <c r="K234" s="173"/>
      <c r="L234" s="188"/>
    </row>
    <row r="235" spans="3:12" hidden="1" x14ac:dyDescent="0.25">
      <c r="C235" s="173"/>
      <c r="D235" s="173"/>
      <c r="E235" s="173"/>
      <c r="F235" s="174"/>
      <c r="G235" s="174"/>
      <c r="H235" s="174"/>
      <c r="I235" s="174"/>
      <c r="J235" s="173"/>
      <c r="K235" s="173"/>
      <c r="L235" s="188"/>
    </row>
    <row r="236" spans="3:12" hidden="1" x14ac:dyDescent="0.25">
      <c r="C236" s="173"/>
      <c r="D236" s="173"/>
      <c r="E236" s="173"/>
      <c r="F236" s="174"/>
      <c r="G236" s="174"/>
      <c r="H236" s="174"/>
      <c r="I236" s="174"/>
      <c r="J236" s="173"/>
      <c r="K236" s="173"/>
      <c r="L236" s="188"/>
    </row>
    <row r="237" spans="3:12" hidden="1" x14ac:dyDescent="0.25">
      <c r="C237" s="173"/>
      <c r="D237" s="173"/>
      <c r="E237" s="173"/>
      <c r="F237" s="174"/>
      <c r="G237" s="174"/>
      <c r="H237" s="174"/>
      <c r="I237" s="174"/>
      <c r="J237" s="173"/>
      <c r="K237" s="173"/>
      <c r="L237" s="188"/>
    </row>
    <row r="238" spans="3:12" hidden="1" x14ac:dyDescent="0.25">
      <c r="C238" s="173"/>
      <c r="D238" s="173"/>
      <c r="E238" s="173"/>
      <c r="F238" s="174"/>
      <c r="G238" s="173"/>
      <c r="H238" s="174"/>
      <c r="I238" s="174"/>
      <c r="J238" s="173"/>
      <c r="K238" s="173"/>
      <c r="L238" s="188"/>
    </row>
    <row r="239" spans="3:12" hidden="1" x14ac:dyDescent="0.25">
      <c r="C239" s="173"/>
      <c r="D239" s="173"/>
      <c r="E239" s="173"/>
      <c r="F239" s="174"/>
      <c r="G239" s="174"/>
      <c r="H239" s="174"/>
      <c r="I239" s="174"/>
      <c r="J239" s="173"/>
      <c r="K239" s="173"/>
      <c r="L239" s="188"/>
    </row>
    <row r="240" spans="3:12" hidden="1" x14ac:dyDescent="0.25">
      <c r="C240" s="173"/>
      <c r="D240" s="173"/>
      <c r="E240" s="173"/>
      <c r="F240" s="174"/>
      <c r="G240" s="174"/>
      <c r="H240" s="174"/>
      <c r="I240" s="174"/>
      <c r="J240" s="173"/>
      <c r="K240" s="173"/>
      <c r="L240" s="188"/>
    </row>
    <row r="241" spans="3:12" hidden="1" x14ac:dyDescent="0.25">
      <c r="C241" s="173"/>
      <c r="D241" s="173"/>
      <c r="E241" s="173"/>
      <c r="F241" s="173"/>
      <c r="G241" s="174"/>
      <c r="H241" s="174"/>
      <c r="I241" s="174"/>
      <c r="J241" s="173"/>
      <c r="K241" s="173"/>
      <c r="L241" s="188"/>
    </row>
    <row r="242" spans="3:12" hidden="1" x14ac:dyDescent="0.25">
      <c r="C242" s="173"/>
      <c r="D242" s="173"/>
      <c r="E242" s="173"/>
      <c r="F242" s="174"/>
      <c r="G242" s="174"/>
      <c r="H242" s="174"/>
      <c r="I242" s="174"/>
      <c r="J242" s="173"/>
      <c r="K242" s="173"/>
      <c r="L242" s="188"/>
    </row>
    <row r="243" spans="3:12" hidden="1" x14ac:dyDescent="0.25">
      <c r="C243" s="173"/>
      <c r="D243" s="173"/>
      <c r="E243" s="173"/>
      <c r="F243" s="174"/>
      <c r="G243" s="173"/>
      <c r="H243" s="174"/>
      <c r="I243" s="174"/>
      <c r="J243" s="173"/>
      <c r="K243" s="173"/>
      <c r="L243" s="188"/>
    </row>
    <row r="244" spans="3:12" hidden="1" x14ac:dyDescent="0.25">
      <c r="C244" s="173"/>
      <c r="D244" s="173"/>
      <c r="E244" s="173"/>
      <c r="F244" s="173"/>
      <c r="G244" s="174"/>
      <c r="H244" s="174"/>
      <c r="I244" s="174"/>
      <c r="J244" s="173"/>
      <c r="K244" s="173"/>
      <c r="L244" s="188"/>
    </row>
    <row r="245" spans="3:12" hidden="1" x14ac:dyDescent="0.25">
      <c r="C245" s="173"/>
      <c r="D245" s="173"/>
      <c r="E245" s="173"/>
      <c r="F245" s="174"/>
      <c r="G245" s="174"/>
      <c r="H245" s="174"/>
      <c r="I245" s="174"/>
      <c r="J245" s="173"/>
      <c r="K245" s="173"/>
      <c r="L245" s="188"/>
    </row>
    <row r="246" spans="3:12" hidden="1" x14ac:dyDescent="0.25">
      <c r="C246" s="173"/>
      <c r="D246" s="173"/>
      <c r="E246" s="173"/>
      <c r="F246" s="174"/>
      <c r="G246" s="174"/>
      <c r="H246" s="174"/>
      <c r="I246" s="174"/>
      <c r="J246" s="173"/>
      <c r="K246" s="173"/>
      <c r="L246" s="188"/>
    </row>
    <row r="247" spans="3:12" hidden="1" x14ac:dyDescent="0.25">
      <c r="C247" s="173"/>
      <c r="D247" s="173"/>
      <c r="E247" s="173"/>
      <c r="F247" s="174"/>
      <c r="G247" s="174"/>
      <c r="H247" s="174"/>
      <c r="I247" s="174"/>
      <c r="J247" s="173"/>
      <c r="K247" s="173"/>
      <c r="L247" s="188"/>
    </row>
    <row r="248" spans="3:12" hidden="1" x14ac:dyDescent="0.25">
      <c r="C248" s="173"/>
      <c r="D248" s="173"/>
      <c r="E248" s="173"/>
      <c r="F248" s="174"/>
      <c r="G248" s="173"/>
      <c r="H248" s="174"/>
      <c r="I248" s="174"/>
      <c r="J248" s="173"/>
      <c r="K248" s="173"/>
      <c r="L248" s="188"/>
    </row>
    <row r="249" spans="3:12" hidden="1" x14ac:dyDescent="0.25">
      <c r="C249" s="173"/>
      <c r="D249" s="173"/>
      <c r="E249" s="173"/>
      <c r="F249" s="174"/>
      <c r="G249" s="173"/>
      <c r="H249" s="174"/>
      <c r="I249" s="174"/>
      <c r="J249" s="173"/>
      <c r="K249" s="173"/>
      <c r="L249" s="188"/>
    </row>
    <row r="250" spans="3:12" hidden="1" x14ac:dyDescent="0.25">
      <c r="C250" s="173"/>
      <c r="D250" s="173"/>
      <c r="E250" s="173"/>
      <c r="F250" s="173"/>
      <c r="G250" s="174"/>
      <c r="H250" s="174"/>
      <c r="I250" s="174"/>
      <c r="J250" s="173"/>
      <c r="K250" s="173"/>
      <c r="L250" s="188"/>
    </row>
    <row r="251" spans="3:12" hidden="1" x14ac:dyDescent="0.25">
      <c r="C251" s="173"/>
      <c r="D251" s="173"/>
      <c r="E251" s="173"/>
      <c r="F251" s="174"/>
      <c r="G251" s="174"/>
      <c r="H251" s="174"/>
      <c r="I251" s="174"/>
      <c r="J251" s="173"/>
      <c r="K251" s="173"/>
      <c r="L251" s="188"/>
    </row>
    <row r="252" spans="3:12" hidden="1" x14ac:dyDescent="0.25">
      <c r="C252" s="173"/>
      <c r="D252" s="173"/>
      <c r="E252" s="173"/>
      <c r="F252" s="174"/>
      <c r="G252" s="173"/>
      <c r="H252" s="174"/>
      <c r="I252" s="174"/>
      <c r="J252" s="173"/>
      <c r="K252" s="173"/>
      <c r="L252" s="188"/>
    </row>
    <row r="253" spans="3:12" hidden="1" x14ac:dyDescent="0.25">
      <c r="C253" s="173"/>
      <c r="D253" s="173"/>
      <c r="E253" s="173"/>
      <c r="F253" s="174"/>
      <c r="G253" s="173"/>
      <c r="H253" s="174"/>
      <c r="I253" s="174"/>
      <c r="J253" s="173"/>
      <c r="K253" s="173"/>
      <c r="L253" s="188"/>
    </row>
    <row r="254" spans="3:12" hidden="1" x14ac:dyDescent="0.25">
      <c r="C254" s="173"/>
      <c r="D254" s="173"/>
      <c r="E254" s="173"/>
      <c r="F254" s="174"/>
      <c r="G254" s="173"/>
      <c r="H254" s="174"/>
      <c r="I254" s="174"/>
      <c r="J254" s="173"/>
      <c r="K254" s="173"/>
      <c r="L254" s="188"/>
    </row>
    <row r="255" spans="3:12" hidden="1" x14ac:dyDescent="0.25">
      <c r="C255" s="173"/>
      <c r="D255" s="173"/>
      <c r="E255" s="173"/>
      <c r="F255" s="174"/>
      <c r="G255" s="174"/>
      <c r="H255" s="174"/>
      <c r="I255" s="174"/>
      <c r="J255" s="173"/>
      <c r="K255" s="173"/>
      <c r="L255" s="188"/>
    </row>
    <row r="256" spans="3:12" hidden="1" x14ac:dyDescent="0.25">
      <c r="C256" s="173"/>
      <c r="D256" s="173"/>
      <c r="E256" s="173"/>
      <c r="F256" s="174"/>
      <c r="G256" s="173"/>
      <c r="H256" s="174"/>
      <c r="I256" s="174"/>
      <c r="J256" s="173"/>
      <c r="K256" s="173"/>
      <c r="L256" s="188"/>
    </row>
    <row r="257" spans="3:12" hidden="1" x14ac:dyDescent="0.25">
      <c r="C257" s="173"/>
      <c r="D257" s="173"/>
      <c r="E257" s="173"/>
      <c r="F257" s="173"/>
      <c r="G257" s="173"/>
      <c r="H257" s="174"/>
      <c r="I257" s="174"/>
      <c r="J257" s="173"/>
      <c r="K257" s="173"/>
      <c r="L257" s="188"/>
    </row>
    <row r="258" spans="3:12" hidden="1" x14ac:dyDescent="0.25">
      <c r="C258" s="173"/>
      <c r="D258" s="173"/>
      <c r="E258" s="173"/>
      <c r="F258" s="174"/>
      <c r="G258" s="173"/>
      <c r="H258" s="174"/>
      <c r="I258" s="174"/>
      <c r="J258" s="173"/>
      <c r="K258" s="173"/>
      <c r="L258" s="188"/>
    </row>
    <row r="259" spans="3:12" hidden="1" x14ac:dyDescent="0.25">
      <c r="C259" s="173"/>
      <c r="D259" s="173"/>
      <c r="E259" s="173"/>
      <c r="F259" s="174"/>
      <c r="G259" s="173"/>
      <c r="H259" s="174"/>
      <c r="I259" s="174"/>
      <c r="J259" s="173"/>
      <c r="K259" s="173"/>
      <c r="L259" s="188"/>
    </row>
    <row r="260" spans="3:12" hidden="1" x14ac:dyDescent="0.25">
      <c r="C260" s="173"/>
      <c r="D260" s="173"/>
      <c r="E260" s="173"/>
      <c r="F260" s="174"/>
      <c r="G260" s="173"/>
      <c r="H260" s="174"/>
      <c r="I260" s="174"/>
      <c r="J260" s="173"/>
      <c r="K260" s="173"/>
      <c r="L260" s="188"/>
    </row>
    <row r="261" spans="3:12" hidden="1" x14ac:dyDescent="0.25">
      <c r="C261" s="173"/>
      <c r="D261" s="173"/>
      <c r="E261" s="173"/>
      <c r="F261" s="174"/>
      <c r="G261" s="173"/>
      <c r="H261" s="174"/>
      <c r="I261" s="174"/>
      <c r="J261" s="173"/>
      <c r="K261" s="173"/>
      <c r="L261" s="188"/>
    </row>
    <row r="262" spans="3:12" hidden="1" x14ac:dyDescent="0.25">
      <c r="C262" s="173"/>
      <c r="D262" s="173"/>
      <c r="E262" s="173"/>
      <c r="F262" s="174"/>
      <c r="G262" s="174"/>
      <c r="H262" s="174"/>
      <c r="I262" s="174"/>
      <c r="J262" s="173"/>
      <c r="K262" s="173"/>
      <c r="L262" s="188"/>
    </row>
    <row r="263" spans="3:12" hidden="1" x14ac:dyDescent="0.25">
      <c r="C263" s="173"/>
      <c r="D263" s="173"/>
      <c r="E263" s="173"/>
      <c r="F263" s="174"/>
      <c r="G263" s="174"/>
      <c r="H263" s="174"/>
      <c r="I263" s="174"/>
      <c r="J263" s="173"/>
      <c r="K263" s="173"/>
      <c r="L263" s="188"/>
    </row>
    <row r="264" spans="3:12" hidden="1" x14ac:dyDescent="0.25">
      <c r="C264" s="173"/>
      <c r="D264" s="173"/>
      <c r="E264" s="173"/>
      <c r="F264" s="174"/>
      <c r="G264" s="173"/>
      <c r="H264" s="174"/>
      <c r="I264" s="174"/>
      <c r="J264" s="173"/>
      <c r="K264" s="173"/>
      <c r="L264" s="188"/>
    </row>
    <row r="265" spans="3:12" hidden="1" x14ac:dyDescent="0.25">
      <c r="C265" s="173"/>
      <c r="D265" s="173"/>
      <c r="E265" s="173"/>
      <c r="F265" s="174"/>
      <c r="G265" s="174"/>
      <c r="H265" s="174"/>
      <c r="I265" s="174"/>
      <c r="J265" s="173"/>
      <c r="K265" s="173"/>
      <c r="L265" s="188"/>
    </row>
    <row r="266" spans="3:12" hidden="1" x14ac:dyDescent="0.25">
      <c r="C266" s="173"/>
      <c r="D266" s="173"/>
      <c r="E266" s="173"/>
      <c r="F266" s="174"/>
      <c r="G266" s="174"/>
      <c r="H266" s="174"/>
      <c r="I266" s="174"/>
      <c r="J266" s="173"/>
      <c r="K266" s="173"/>
      <c r="L266" s="188"/>
    </row>
    <row r="267" spans="3:12" hidden="1" x14ac:dyDescent="0.25">
      <c r="C267" s="173"/>
      <c r="D267" s="173"/>
      <c r="E267" s="173"/>
      <c r="F267" s="174"/>
      <c r="G267" s="173"/>
      <c r="H267" s="174"/>
      <c r="I267" s="174"/>
      <c r="J267" s="173"/>
      <c r="K267" s="173"/>
      <c r="L267" s="188"/>
    </row>
    <row r="268" spans="3:12" hidden="1" x14ac:dyDescent="0.25">
      <c r="C268" s="173"/>
      <c r="D268" s="173"/>
      <c r="E268" s="173"/>
      <c r="F268" s="173"/>
      <c r="G268" s="174"/>
      <c r="H268" s="174"/>
      <c r="I268" s="174"/>
      <c r="J268" s="173"/>
      <c r="K268" s="173"/>
      <c r="L268" s="188"/>
    </row>
    <row r="269" spans="3:12" hidden="1" x14ac:dyDescent="0.25">
      <c r="C269" s="173"/>
      <c r="D269" s="173"/>
      <c r="E269" s="173"/>
      <c r="F269" s="174"/>
      <c r="G269" s="174"/>
      <c r="H269" s="174"/>
      <c r="I269" s="174"/>
      <c r="J269" s="173"/>
      <c r="K269" s="173"/>
      <c r="L269" s="188"/>
    </row>
    <row r="270" spans="3:12" hidden="1" x14ac:dyDescent="0.25">
      <c r="C270" s="173"/>
      <c r="D270" s="173"/>
      <c r="E270" s="173"/>
      <c r="F270" s="174"/>
      <c r="G270" s="174"/>
      <c r="H270" s="174"/>
      <c r="I270" s="174"/>
      <c r="J270" s="173"/>
      <c r="K270" s="173"/>
      <c r="L270" s="188"/>
    </row>
    <row r="271" spans="3:12" hidden="1" x14ac:dyDescent="0.25">
      <c r="C271" s="173"/>
      <c r="D271" s="173"/>
      <c r="E271" s="173"/>
      <c r="F271" s="174"/>
      <c r="G271" s="173"/>
      <c r="H271" s="174"/>
      <c r="I271" s="174"/>
      <c r="J271" s="173"/>
      <c r="K271" s="173"/>
      <c r="L271" s="188"/>
    </row>
    <row r="272" spans="3:12" hidden="1" x14ac:dyDescent="0.25">
      <c r="C272" s="173"/>
      <c r="D272" s="173"/>
      <c r="E272" s="173"/>
      <c r="F272" s="174"/>
      <c r="G272" s="173"/>
      <c r="H272" s="174"/>
      <c r="I272" s="174"/>
      <c r="J272" s="173"/>
      <c r="K272" s="173"/>
      <c r="L272" s="188"/>
    </row>
    <row r="273" spans="3:12" hidden="1" x14ac:dyDescent="0.25">
      <c r="C273" s="173"/>
      <c r="D273" s="173"/>
      <c r="E273" s="173"/>
      <c r="F273" s="174"/>
      <c r="G273" s="174"/>
      <c r="H273" s="174"/>
      <c r="I273" s="174"/>
      <c r="J273" s="173"/>
      <c r="K273" s="173"/>
      <c r="L273" s="188"/>
    </row>
    <row r="274" spans="3:12" hidden="1" x14ac:dyDescent="0.25">
      <c r="C274" s="173"/>
      <c r="D274" s="173"/>
      <c r="E274" s="173"/>
      <c r="F274" s="174"/>
      <c r="G274" s="174"/>
      <c r="H274" s="174"/>
      <c r="I274" s="174"/>
      <c r="J274" s="173"/>
      <c r="K274" s="173"/>
      <c r="L274" s="188"/>
    </row>
    <row r="275" spans="3:12" hidden="1" x14ac:dyDescent="0.25">
      <c r="C275" s="173"/>
      <c r="D275" s="173"/>
      <c r="E275" s="173"/>
      <c r="F275" s="174"/>
      <c r="G275" s="174"/>
      <c r="H275" s="174"/>
      <c r="I275" s="174"/>
      <c r="J275" s="173"/>
      <c r="K275" s="173"/>
      <c r="L275" s="188"/>
    </row>
    <row r="276" spans="3:12" hidden="1" x14ac:dyDescent="0.25">
      <c r="C276" s="173"/>
      <c r="D276" s="173"/>
      <c r="E276" s="173"/>
      <c r="F276" s="174"/>
      <c r="G276" s="174"/>
      <c r="H276" s="174"/>
      <c r="I276" s="174"/>
      <c r="J276" s="173"/>
      <c r="K276" s="173"/>
      <c r="L276" s="188"/>
    </row>
    <row r="277" spans="3:12" hidden="1" x14ac:dyDescent="0.25">
      <c r="C277" s="173"/>
      <c r="D277" s="173"/>
      <c r="E277" s="173"/>
      <c r="F277" s="174"/>
      <c r="G277" s="173"/>
      <c r="H277" s="174"/>
      <c r="I277" s="174"/>
      <c r="J277" s="173"/>
      <c r="K277" s="173"/>
      <c r="L277" s="188"/>
    </row>
    <row r="278" spans="3:12" hidden="1" x14ac:dyDescent="0.25">
      <c r="C278" s="173"/>
      <c r="D278" s="173"/>
      <c r="E278" s="173"/>
      <c r="F278" s="174"/>
      <c r="G278" s="174"/>
      <c r="H278" s="174"/>
      <c r="I278" s="174"/>
      <c r="J278" s="173"/>
      <c r="K278" s="173"/>
      <c r="L278" s="188"/>
    </row>
    <row r="279" spans="3:12" hidden="1" x14ac:dyDescent="0.25">
      <c r="C279" s="173"/>
      <c r="D279" s="173"/>
      <c r="E279" s="173"/>
      <c r="F279" s="174"/>
      <c r="G279" s="173"/>
      <c r="H279" s="174"/>
      <c r="I279" s="174"/>
      <c r="J279" s="173"/>
      <c r="K279" s="173"/>
      <c r="L279" s="188"/>
    </row>
    <row r="280" spans="3:12" hidden="1" x14ac:dyDescent="0.25">
      <c r="C280" s="173"/>
      <c r="D280" s="173"/>
      <c r="E280" s="173"/>
      <c r="F280" s="174"/>
      <c r="G280" s="174"/>
      <c r="H280" s="174"/>
      <c r="I280" s="174"/>
      <c r="J280" s="173"/>
      <c r="K280" s="173"/>
      <c r="L280" s="188"/>
    </row>
    <row r="281" spans="3:12" hidden="1" x14ac:dyDescent="0.25">
      <c r="C281" s="173"/>
      <c r="D281" s="173"/>
      <c r="E281" s="173"/>
      <c r="F281" s="174"/>
      <c r="G281" s="174"/>
      <c r="H281" s="174"/>
      <c r="I281" s="174"/>
      <c r="J281" s="173"/>
      <c r="K281" s="173"/>
      <c r="L281" s="188"/>
    </row>
    <row r="282" spans="3:12" hidden="1" x14ac:dyDescent="0.25">
      <c r="C282" s="173"/>
      <c r="D282" s="173"/>
      <c r="E282" s="173"/>
      <c r="F282" s="174"/>
      <c r="G282" s="174"/>
      <c r="H282" s="174"/>
      <c r="I282" s="174"/>
      <c r="J282" s="173"/>
      <c r="K282" s="173"/>
      <c r="L282" s="188"/>
    </row>
    <row r="283" spans="3:12" hidden="1" x14ac:dyDescent="0.25">
      <c r="C283" s="175"/>
      <c r="D283" s="175"/>
      <c r="E283" s="175"/>
      <c r="F283" s="176"/>
      <c r="G283" s="176"/>
      <c r="H283" s="176"/>
      <c r="I283" s="176"/>
      <c r="J283" s="175"/>
      <c r="K283" s="175"/>
      <c r="L283" s="188"/>
    </row>
    <row r="284" spans="3:12" hidden="1" x14ac:dyDescent="0.25">
      <c r="C284" s="173"/>
      <c r="D284" s="173"/>
      <c r="E284" s="173"/>
      <c r="F284" s="174"/>
      <c r="G284" s="174"/>
      <c r="H284" s="174"/>
      <c r="I284" s="174"/>
      <c r="J284" s="173"/>
      <c r="K284" s="173"/>
      <c r="L284" s="188"/>
    </row>
    <row r="285" spans="3:12" hidden="1" x14ac:dyDescent="0.25">
      <c r="C285" s="173"/>
      <c r="D285" s="173"/>
      <c r="E285" s="173"/>
      <c r="F285" s="174"/>
      <c r="G285" s="173"/>
      <c r="H285" s="174"/>
      <c r="I285" s="174"/>
      <c r="J285" s="173"/>
      <c r="K285" s="173"/>
      <c r="L285" s="188"/>
    </row>
    <row r="286" spans="3:12" hidden="1" x14ac:dyDescent="0.25">
      <c r="C286" s="173"/>
      <c r="D286" s="173"/>
      <c r="E286" s="173"/>
      <c r="F286" s="174"/>
      <c r="G286" s="174"/>
      <c r="H286" s="174"/>
      <c r="I286" s="174"/>
      <c r="J286" s="173"/>
      <c r="K286" s="173"/>
      <c r="L286" s="188"/>
    </row>
    <row r="287" spans="3:12" hidden="1" x14ac:dyDescent="0.25">
      <c r="C287" s="173"/>
      <c r="D287" s="173"/>
      <c r="E287" s="173"/>
      <c r="F287" s="174"/>
      <c r="G287" s="174"/>
      <c r="H287" s="174"/>
      <c r="I287" s="174"/>
      <c r="J287" s="173"/>
      <c r="K287" s="173"/>
      <c r="L287" s="188"/>
    </row>
    <row r="288" spans="3:12" hidden="1" x14ac:dyDescent="0.25">
      <c r="C288" s="173"/>
      <c r="D288" s="173"/>
      <c r="E288" s="173"/>
      <c r="F288" s="174"/>
      <c r="G288" s="174"/>
      <c r="H288" s="174"/>
      <c r="I288" s="174"/>
      <c r="J288" s="173"/>
      <c r="K288" s="173"/>
      <c r="L288" s="188"/>
    </row>
    <row r="289" spans="3:12" hidden="1" x14ac:dyDescent="0.25">
      <c r="C289" s="173"/>
      <c r="D289" s="173"/>
      <c r="E289" s="173"/>
      <c r="F289" s="173"/>
      <c r="G289" s="173"/>
      <c r="H289" s="174"/>
      <c r="I289" s="174"/>
      <c r="J289" s="173"/>
      <c r="K289" s="173"/>
      <c r="L289" s="188"/>
    </row>
    <row r="290" spans="3:12" hidden="1" x14ac:dyDescent="0.25">
      <c r="C290" s="173"/>
      <c r="D290" s="173"/>
      <c r="E290" s="173"/>
      <c r="F290" s="174"/>
      <c r="G290" s="173"/>
      <c r="H290" s="174"/>
      <c r="I290" s="174"/>
      <c r="J290" s="173"/>
      <c r="K290" s="173"/>
      <c r="L290" s="188"/>
    </row>
    <row r="291" spans="3:12" hidden="1" x14ac:dyDescent="0.25">
      <c r="C291" s="173"/>
      <c r="D291" s="173"/>
      <c r="E291" s="173"/>
      <c r="F291" s="174"/>
      <c r="G291" s="174"/>
      <c r="H291" s="174"/>
      <c r="I291" s="174"/>
      <c r="J291" s="173"/>
      <c r="K291" s="173"/>
      <c r="L291" s="188"/>
    </row>
    <row r="292" spans="3:12" hidden="1" x14ac:dyDescent="0.25">
      <c r="C292" s="173"/>
      <c r="D292" s="173"/>
      <c r="E292" s="173"/>
      <c r="F292" s="174"/>
      <c r="G292" s="174"/>
      <c r="H292" s="174"/>
      <c r="I292" s="174"/>
      <c r="J292" s="173"/>
      <c r="K292" s="173"/>
      <c r="L292" s="188"/>
    </row>
    <row r="293" spans="3:12" hidden="1" x14ac:dyDescent="0.25">
      <c r="C293" s="173"/>
      <c r="D293" s="173"/>
      <c r="E293" s="173"/>
      <c r="F293" s="174"/>
      <c r="G293" s="174"/>
      <c r="H293" s="174"/>
      <c r="I293" s="174"/>
      <c r="J293" s="173"/>
      <c r="K293" s="173"/>
      <c r="L293" s="188"/>
    </row>
    <row r="294" spans="3:12" hidden="1" x14ac:dyDescent="0.25">
      <c r="C294" s="173"/>
      <c r="D294" s="173"/>
      <c r="E294" s="173"/>
      <c r="F294" s="174"/>
      <c r="G294" s="174"/>
      <c r="H294" s="174"/>
      <c r="I294" s="174"/>
      <c r="J294" s="173"/>
      <c r="K294" s="173"/>
      <c r="L294" s="188"/>
    </row>
    <row r="295" spans="3:12" hidden="1" x14ac:dyDescent="0.25">
      <c r="C295" s="173"/>
      <c r="D295" s="173"/>
      <c r="E295" s="173"/>
      <c r="F295" s="174"/>
      <c r="G295" s="174"/>
      <c r="H295" s="174"/>
      <c r="I295" s="174"/>
      <c r="J295" s="173"/>
      <c r="K295" s="173"/>
      <c r="L295" s="188"/>
    </row>
    <row r="296" spans="3:12" hidden="1" x14ac:dyDescent="0.25">
      <c r="C296" s="173"/>
      <c r="D296" s="173"/>
      <c r="E296" s="173"/>
      <c r="F296" s="174"/>
      <c r="G296" s="173"/>
      <c r="H296" s="174"/>
      <c r="I296" s="174"/>
      <c r="J296" s="173"/>
      <c r="K296" s="173"/>
      <c r="L296" s="188"/>
    </row>
    <row r="297" spans="3:12" hidden="1" x14ac:dyDescent="0.25">
      <c r="C297" s="173"/>
      <c r="D297" s="173"/>
      <c r="E297" s="173"/>
      <c r="F297" s="174"/>
      <c r="G297" s="173"/>
      <c r="H297" s="174"/>
      <c r="I297" s="174"/>
      <c r="J297" s="173"/>
      <c r="K297" s="173"/>
      <c r="L297" s="188"/>
    </row>
    <row r="298" spans="3:12" hidden="1" x14ac:dyDescent="0.25">
      <c r="C298" s="173"/>
      <c r="D298" s="173"/>
      <c r="E298" s="173"/>
      <c r="F298" s="174"/>
      <c r="G298" s="174"/>
      <c r="H298" s="174"/>
      <c r="I298" s="174"/>
      <c r="J298" s="173"/>
      <c r="K298" s="173"/>
      <c r="L298" s="188"/>
    </row>
    <row r="299" spans="3:12" hidden="1" x14ac:dyDescent="0.25">
      <c r="C299" s="173"/>
      <c r="D299" s="173"/>
      <c r="E299" s="173"/>
      <c r="F299" s="174"/>
      <c r="G299" s="174"/>
      <c r="H299" s="174"/>
      <c r="I299" s="174"/>
      <c r="J299" s="173"/>
      <c r="K299" s="173"/>
      <c r="L299" s="188"/>
    </row>
    <row r="300" spans="3:12" hidden="1" x14ac:dyDescent="0.25">
      <c r="C300" s="173"/>
      <c r="D300" s="173"/>
      <c r="E300" s="173"/>
      <c r="F300" s="174"/>
      <c r="G300" s="174"/>
      <c r="H300" s="174"/>
      <c r="I300" s="174"/>
      <c r="J300" s="173"/>
      <c r="K300" s="173"/>
      <c r="L300" s="188"/>
    </row>
    <row r="301" spans="3:12" hidden="1" x14ac:dyDescent="0.25">
      <c r="C301" s="173"/>
      <c r="D301" s="173"/>
      <c r="E301" s="173"/>
      <c r="F301" s="173"/>
      <c r="G301" s="174"/>
      <c r="H301" s="174"/>
      <c r="I301" s="174"/>
      <c r="J301" s="173"/>
      <c r="K301" s="173"/>
      <c r="L301" s="188"/>
    </row>
    <row r="302" spans="3:12" hidden="1" x14ac:dyDescent="0.25">
      <c r="C302" s="173"/>
      <c r="D302" s="173"/>
      <c r="E302" s="173"/>
      <c r="F302" s="174"/>
      <c r="G302" s="173"/>
      <c r="H302" s="174"/>
      <c r="I302" s="174"/>
      <c r="J302" s="173"/>
      <c r="K302" s="173"/>
      <c r="L302" s="188"/>
    </row>
    <row r="303" spans="3:12" hidden="1" x14ac:dyDescent="0.25">
      <c r="C303" s="173"/>
      <c r="D303" s="173"/>
      <c r="E303" s="173"/>
      <c r="F303" s="174"/>
      <c r="G303" s="173"/>
      <c r="H303" s="174"/>
      <c r="I303" s="174"/>
      <c r="J303" s="173"/>
      <c r="K303" s="173"/>
      <c r="L303" s="188"/>
    </row>
    <row r="304" spans="3:12" hidden="1" x14ac:dyDescent="0.25">
      <c r="C304" s="173"/>
      <c r="D304" s="173"/>
      <c r="E304" s="173"/>
      <c r="F304" s="173"/>
      <c r="G304" s="173"/>
      <c r="H304" s="174"/>
      <c r="I304" s="174"/>
      <c r="J304" s="173"/>
      <c r="K304" s="173"/>
      <c r="L304" s="188"/>
    </row>
    <row r="305" spans="3:12" hidden="1" x14ac:dyDescent="0.25">
      <c r="C305" s="173"/>
      <c r="D305" s="173"/>
      <c r="E305" s="173"/>
      <c r="F305" s="173"/>
      <c r="G305" s="173"/>
      <c r="H305" s="174"/>
      <c r="I305" s="174"/>
      <c r="J305" s="173"/>
      <c r="K305" s="173"/>
      <c r="L305" s="188"/>
    </row>
    <row r="306" spans="3:12" hidden="1" x14ac:dyDescent="0.25">
      <c r="C306" s="173"/>
      <c r="D306" s="173"/>
      <c r="E306" s="173"/>
      <c r="F306" s="174"/>
      <c r="G306" s="173"/>
      <c r="H306" s="174"/>
      <c r="I306" s="174"/>
      <c r="J306" s="173"/>
      <c r="K306" s="173"/>
      <c r="L306" s="188"/>
    </row>
    <row r="307" spans="3:12" hidden="1" x14ac:dyDescent="0.25">
      <c r="C307" s="173"/>
      <c r="D307" s="173"/>
      <c r="E307" s="173"/>
      <c r="F307" s="173"/>
      <c r="G307" s="173"/>
      <c r="H307" s="174"/>
      <c r="I307" s="174"/>
      <c r="J307" s="173"/>
      <c r="K307" s="173"/>
      <c r="L307" s="188"/>
    </row>
    <row r="308" spans="3:12" hidden="1" x14ac:dyDescent="0.25">
      <c r="C308" s="173"/>
      <c r="D308" s="173"/>
      <c r="E308" s="173"/>
      <c r="F308" s="174"/>
      <c r="G308" s="173"/>
      <c r="H308" s="174"/>
      <c r="I308" s="174"/>
      <c r="J308" s="173"/>
      <c r="K308" s="173"/>
      <c r="L308" s="188"/>
    </row>
    <row r="309" spans="3:12" hidden="1" x14ac:dyDescent="0.25">
      <c r="C309" s="173"/>
      <c r="D309" s="173"/>
      <c r="E309" s="173"/>
      <c r="F309" s="173"/>
      <c r="G309" s="173"/>
      <c r="H309" s="174"/>
      <c r="I309" s="174"/>
      <c r="J309" s="173"/>
      <c r="K309" s="173"/>
      <c r="L309" s="188"/>
    </row>
    <row r="310" spans="3:12" hidden="1" x14ac:dyDescent="0.25">
      <c r="C310" s="173"/>
      <c r="D310" s="173"/>
      <c r="E310" s="173"/>
      <c r="F310" s="173"/>
      <c r="G310" s="174"/>
      <c r="H310" s="174"/>
      <c r="I310" s="174"/>
      <c r="J310" s="173"/>
      <c r="K310" s="173"/>
      <c r="L310" s="188"/>
    </row>
    <row r="311" spans="3:12" hidden="1" x14ac:dyDescent="0.25">
      <c r="C311" s="173"/>
      <c r="D311" s="173"/>
      <c r="E311" s="173"/>
      <c r="F311" s="174"/>
      <c r="G311" s="173"/>
      <c r="H311" s="174"/>
      <c r="I311" s="174"/>
      <c r="J311" s="173"/>
      <c r="K311" s="173"/>
      <c r="L311" s="188"/>
    </row>
    <row r="312" spans="3:12" hidden="1" x14ac:dyDescent="0.25">
      <c r="C312" s="173"/>
      <c r="D312" s="173"/>
      <c r="E312" s="173"/>
      <c r="F312" s="173"/>
      <c r="G312" s="173"/>
      <c r="H312" s="174"/>
      <c r="I312" s="174"/>
      <c r="J312" s="173"/>
      <c r="K312" s="173"/>
      <c r="L312" s="188"/>
    </row>
    <row r="313" spans="3:12" hidden="1" x14ac:dyDescent="0.25">
      <c r="C313" s="173"/>
      <c r="D313" s="173"/>
      <c r="E313" s="173"/>
      <c r="F313" s="173"/>
      <c r="G313" s="173"/>
      <c r="H313" s="174"/>
      <c r="I313" s="174"/>
      <c r="J313" s="173"/>
      <c r="K313" s="173"/>
      <c r="L313" s="188"/>
    </row>
    <row r="314" spans="3:12" hidden="1" x14ac:dyDescent="0.25">
      <c r="C314" s="173"/>
      <c r="D314" s="173"/>
      <c r="E314" s="173"/>
      <c r="F314" s="174"/>
      <c r="G314" s="173"/>
      <c r="H314" s="174"/>
      <c r="I314" s="174"/>
      <c r="J314" s="173"/>
      <c r="K314" s="173"/>
      <c r="L314" s="188"/>
    </row>
    <row r="315" spans="3:12" hidden="1" x14ac:dyDescent="0.25">
      <c r="C315" s="173"/>
      <c r="D315" s="173"/>
      <c r="E315" s="173"/>
      <c r="F315" s="174"/>
      <c r="G315" s="173"/>
      <c r="H315" s="174"/>
      <c r="I315" s="174"/>
      <c r="J315" s="173"/>
      <c r="K315" s="173"/>
      <c r="L315" s="188"/>
    </row>
    <row r="316" spans="3:12" hidden="1" x14ac:dyDescent="0.25">
      <c r="C316" s="173"/>
      <c r="D316" s="173"/>
      <c r="E316" s="173"/>
      <c r="F316" s="173"/>
      <c r="G316" s="174"/>
      <c r="H316" s="174"/>
      <c r="I316" s="174"/>
      <c r="J316" s="173"/>
      <c r="K316" s="173"/>
      <c r="L316" s="188"/>
    </row>
    <row r="317" spans="3:12" hidden="1" x14ac:dyDescent="0.25">
      <c r="C317" s="173"/>
      <c r="D317" s="173"/>
      <c r="E317" s="173"/>
      <c r="F317" s="174"/>
      <c r="G317" s="173"/>
      <c r="H317" s="174"/>
      <c r="I317" s="174"/>
      <c r="J317" s="173"/>
      <c r="K317" s="173"/>
      <c r="L317" s="188"/>
    </row>
    <row r="318" spans="3:12" hidden="1" x14ac:dyDescent="0.25">
      <c r="C318" s="173"/>
      <c r="D318" s="173"/>
      <c r="E318" s="173"/>
      <c r="F318" s="173"/>
      <c r="G318" s="174"/>
      <c r="H318" s="174"/>
      <c r="I318" s="174"/>
      <c r="J318" s="173"/>
      <c r="K318" s="173"/>
      <c r="L318" s="188"/>
    </row>
    <row r="319" spans="3:12" hidden="1" x14ac:dyDescent="0.25">
      <c r="C319" s="173"/>
      <c r="D319" s="173"/>
      <c r="E319" s="173"/>
      <c r="F319" s="173"/>
      <c r="G319" s="173"/>
      <c r="H319" s="174"/>
      <c r="I319" s="174"/>
      <c r="J319" s="173"/>
      <c r="K319" s="173"/>
      <c r="L319" s="188"/>
    </row>
    <row r="320" spans="3:12" hidden="1" x14ac:dyDescent="0.25">
      <c r="C320" s="173"/>
      <c r="D320" s="173"/>
      <c r="E320" s="173"/>
      <c r="F320" s="174"/>
      <c r="G320" s="173"/>
      <c r="H320" s="174"/>
      <c r="I320" s="174"/>
      <c r="J320" s="173"/>
      <c r="K320" s="173"/>
      <c r="L320" s="188"/>
    </row>
    <row r="321" spans="3:12" hidden="1" x14ac:dyDescent="0.25">
      <c r="C321" s="173"/>
      <c r="D321" s="173"/>
      <c r="E321" s="173"/>
      <c r="F321" s="174"/>
      <c r="G321" s="173"/>
      <c r="H321" s="174"/>
      <c r="I321" s="174"/>
      <c r="J321" s="173"/>
      <c r="K321" s="173"/>
      <c r="L321" s="188"/>
    </row>
    <row r="322" spans="3:12" hidden="1" x14ac:dyDescent="0.25">
      <c r="C322" s="173"/>
      <c r="D322" s="173"/>
      <c r="E322" s="173"/>
      <c r="F322" s="174"/>
      <c r="G322" s="173"/>
      <c r="H322" s="174"/>
      <c r="I322" s="174"/>
      <c r="J322" s="173"/>
      <c r="K322" s="173"/>
      <c r="L322" s="188"/>
    </row>
    <row r="323" spans="3:12" hidden="1" x14ac:dyDescent="0.25">
      <c r="C323" s="173"/>
      <c r="D323" s="173"/>
      <c r="E323" s="173"/>
      <c r="F323" s="174"/>
      <c r="G323" s="173"/>
      <c r="H323" s="174"/>
      <c r="I323" s="174"/>
      <c r="J323" s="173"/>
      <c r="K323" s="173"/>
      <c r="L323" s="188"/>
    </row>
    <row r="324" spans="3:12" hidden="1" x14ac:dyDescent="0.25">
      <c r="C324" s="173"/>
      <c r="D324" s="173"/>
      <c r="E324" s="173"/>
      <c r="F324" s="173"/>
      <c r="G324" s="173"/>
      <c r="H324" s="174"/>
      <c r="I324" s="174"/>
      <c r="J324" s="173"/>
      <c r="K324" s="173"/>
      <c r="L324" s="188"/>
    </row>
    <row r="325" spans="3:12" hidden="1" x14ac:dyDescent="0.25">
      <c r="C325" s="173"/>
      <c r="D325" s="173"/>
      <c r="E325" s="173"/>
      <c r="F325" s="174"/>
      <c r="G325" s="173"/>
      <c r="H325" s="174"/>
      <c r="I325" s="174"/>
      <c r="J325" s="173"/>
      <c r="K325" s="173"/>
      <c r="L325" s="188"/>
    </row>
    <row r="326" spans="3:12" hidden="1" x14ac:dyDescent="0.25">
      <c r="C326" s="173"/>
      <c r="D326" s="173"/>
      <c r="E326" s="173"/>
      <c r="F326" s="173"/>
      <c r="G326" s="173"/>
      <c r="H326" s="174"/>
      <c r="I326" s="174"/>
      <c r="J326" s="173"/>
      <c r="K326" s="173"/>
      <c r="L326" s="188"/>
    </row>
    <row r="327" spans="3:12" hidden="1" x14ac:dyDescent="0.25">
      <c r="C327" s="173"/>
      <c r="D327" s="173"/>
      <c r="E327" s="173"/>
      <c r="F327" s="174"/>
      <c r="G327" s="173"/>
      <c r="H327" s="174"/>
      <c r="I327" s="174"/>
      <c r="J327" s="173"/>
      <c r="K327" s="173"/>
      <c r="L327" s="188"/>
    </row>
    <row r="328" spans="3:12" hidden="1" x14ac:dyDescent="0.25">
      <c r="C328" s="173"/>
      <c r="D328" s="173"/>
      <c r="E328" s="173"/>
      <c r="F328" s="173"/>
      <c r="G328" s="173"/>
      <c r="H328" s="174"/>
      <c r="I328" s="174"/>
      <c r="J328" s="173"/>
      <c r="K328" s="173"/>
      <c r="L328" s="188"/>
    </row>
    <row r="329" spans="3:12" hidden="1" x14ac:dyDescent="0.25">
      <c r="C329" s="173"/>
      <c r="D329" s="173"/>
      <c r="E329" s="173"/>
      <c r="F329" s="174"/>
      <c r="G329" s="174"/>
      <c r="H329" s="174"/>
      <c r="I329" s="174"/>
      <c r="J329" s="173"/>
      <c r="K329" s="173"/>
      <c r="L329" s="188"/>
    </row>
    <row r="330" spans="3:12" hidden="1" x14ac:dyDescent="0.25">
      <c r="C330" s="173"/>
      <c r="D330" s="173"/>
      <c r="E330" s="173"/>
      <c r="F330" s="173"/>
      <c r="G330" s="173"/>
      <c r="H330" s="174"/>
      <c r="I330" s="174"/>
      <c r="J330" s="173"/>
      <c r="K330" s="173"/>
      <c r="L330" s="188"/>
    </row>
    <row r="331" spans="3:12" hidden="1" x14ac:dyDescent="0.25">
      <c r="C331" s="173"/>
      <c r="D331" s="173"/>
      <c r="E331" s="173"/>
      <c r="F331" s="174"/>
      <c r="G331" s="173"/>
      <c r="H331" s="174"/>
      <c r="I331" s="174"/>
      <c r="J331" s="173"/>
      <c r="K331" s="173"/>
      <c r="L331" s="188"/>
    </row>
    <row r="332" spans="3:12" hidden="1" x14ac:dyDescent="0.25">
      <c r="C332" s="173"/>
      <c r="D332" s="173"/>
      <c r="E332" s="173"/>
      <c r="F332" s="174"/>
      <c r="G332" s="173"/>
      <c r="H332" s="174"/>
      <c r="I332" s="174"/>
      <c r="J332" s="173"/>
      <c r="K332" s="173"/>
      <c r="L332" s="188"/>
    </row>
    <row r="333" spans="3:12" hidden="1" x14ac:dyDescent="0.25">
      <c r="C333" s="173"/>
      <c r="D333" s="173"/>
      <c r="E333" s="173"/>
      <c r="F333" s="174"/>
      <c r="G333" s="173"/>
      <c r="H333" s="174"/>
      <c r="I333" s="174"/>
      <c r="J333" s="173"/>
      <c r="K333" s="173"/>
      <c r="L333" s="188"/>
    </row>
    <row r="334" spans="3:12" hidden="1" x14ac:dyDescent="0.25">
      <c r="C334" s="173"/>
      <c r="D334" s="173"/>
      <c r="E334" s="173"/>
      <c r="F334" s="174"/>
      <c r="G334" s="173"/>
      <c r="H334" s="174"/>
      <c r="I334" s="174"/>
      <c r="J334" s="173"/>
      <c r="K334" s="173"/>
      <c r="L334" s="188"/>
    </row>
    <row r="335" spans="3:12" hidden="1" x14ac:dyDescent="0.25">
      <c r="C335" s="173"/>
      <c r="D335" s="173"/>
      <c r="E335" s="173"/>
      <c r="F335" s="174"/>
      <c r="G335" s="174"/>
      <c r="H335" s="174"/>
      <c r="I335" s="174"/>
      <c r="J335" s="173"/>
      <c r="K335" s="173"/>
      <c r="L335" s="188"/>
    </row>
    <row r="336" spans="3:12" hidden="1" x14ac:dyDescent="0.25">
      <c r="C336" s="173"/>
      <c r="D336" s="173"/>
      <c r="E336" s="173"/>
      <c r="F336" s="174"/>
      <c r="G336" s="173"/>
      <c r="H336" s="174"/>
      <c r="I336" s="174"/>
      <c r="J336" s="173"/>
      <c r="K336" s="173"/>
      <c r="L336" s="188"/>
    </row>
    <row r="337" spans="3:12" hidden="1" x14ac:dyDescent="0.25">
      <c r="C337" s="173"/>
      <c r="D337" s="173"/>
      <c r="E337" s="173"/>
      <c r="F337" s="174"/>
      <c r="G337" s="173"/>
      <c r="H337" s="174"/>
      <c r="I337" s="174"/>
      <c r="J337" s="173"/>
      <c r="K337" s="173"/>
      <c r="L337" s="188"/>
    </row>
    <row r="338" spans="3:12" hidden="1" x14ac:dyDescent="0.25">
      <c r="C338" s="173"/>
      <c r="D338" s="173"/>
      <c r="E338" s="173"/>
      <c r="F338" s="174"/>
      <c r="G338" s="173"/>
      <c r="H338" s="174"/>
      <c r="I338" s="174"/>
      <c r="J338" s="173"/>
      <c r="K338" s="173"/>
      <c r="L338" s="188"/>
    </row>
    <row r="339" spans="3:12" hidden="1" x14ac:dyDescent="0.25">
      <c r="C339" s="173"/>
      <c r="D339" s="173"/>
      <c r="E339" s="173"/>
      <c r="F339" s="174"/>
      <c r="G339" s="173"/>
      <c r="H339" s="174"/>
      <c r="I339" s="174"/>
      <c r="J339" s="173"/>
      <c r="K339" s="173"/>
      <c r="L339" s="188"/>
    </row>
    <row r="340" spans="3:12" hidden="1" x14ac:dyDescent="0.25">
      <c r="C340" s="173"/>
      <c r="D340" s="173"/>
      <c r="E340" s="173"/>
      <c r="F340" s="174"/>
      <c r="G340" s="174"/>
      <c r="H340" s="174"/>
      <c r="I340" s="174"/>
      <c r="J340" s="173"/>
      <c r="K340" s="173"/>
      <c r="L340" s="188"/>
    </row>
    <row r="341" spans="3:12" hidden="1" x14ac:dyDescent="0.25">
      <c r="C341" s="173"/>
      <c r="D341" s="173"/>
      <c r="E341" s="173"/>
      <c r="F341" s="174"/>
      <c r="G341" s="174"/>
      <c r="H341" s="174"/>
      <c r="I341" s="174"/>
      <c r="J341" s="173"/>
      <c r="K341" s="173"/>
      <c r="L341" s="188"/>
    </row>
    <row r="342" spans="3:12" hidden="1" x14ac:dyDescent="0.25">
      <c r="C342" s="173"/>
      <c r="D342" s="173"/>
      <c r="E342" s="173"/>
      <c r="F342" s="174"/>
      <c r="G342" s="173"/>
      <c r="H342" s="174"/>
      <c r="I342" s="174"/>
      <c r="J342" s="173"/>
      <c r="K342" s="173"/>
      <c r="L342" s="188"/>
    </row>
    <row r="343" spans="3:12" hidden="1" x14ac:dyDescent="0.25">
      <c r="C343" s="173"/>
      <c r="D343" s="173"/>
      <c r="E343" s="173"/>
      <c r="F343" s="174"/>
      <c r="G343" s="174"/>
      <c r="H343" s="174"/>
      <c r="I343" s="174"/>
      <c r="J343" s="173"/>
      <c r="K343" s="173"/>
      <c r="L343" s="188"/>
    </row>
    <row r="344" spans="3:12" hidden="1" x14ac:dyDescent="0.25">
      <c r="C344" s="173"/>
      <c r="D344" s="173"/>
      <c r="E344" s="173"/>
      <c r="F344" s="174"/>
      <c r="G344" s="174"/>
      <c r="H344" s="174"/>
      <c r="I344" s="174"/>
      <c r="J344" s="173"/>
      <c r="K344" s="173"/>
      <c r="L344" s="188"/>
    </row>
    <row r="345" spans="3:12" hidden="1" x14ac:dyDescent="0.25">
      <c r="C345" s="173"/>
      <c r="D345" s="173"/>
      <c r="E345" s="173"/>
      <c r="F345" s="174"/>
      <c r="G345" s="173"/>
      <c r="H345" s="174"/>
      <c r="I345" s="174"/>
      <c r="J345" s="173"/>
      <c r="K345" s="173"/>
      <c r="L345" s="188"/>
    </row>
    <row r="346" spans="3:12" hidden="1" x14ac:dyDescent="0.25">
      <c r="C346" s="173"/>
      <c r="D346" s="173"/>
      <c r="E346" s="173"/>
      <c r="F346" s="174"/>
      <c r="G346" s="173"/>
      <c r="H346" s="174"/>
      <c r="I346" s="174"/>
      <c r="J346" s="173"/>
      <c r="K346" s="173"/>
      <c r="L346" s="188"/>
    </row>
    <row r="347" spans="3:12" hidden="1" x14ac:dyDescent="0.25">
      <c r="C347" s="173"/>
      <c r="D347" s="173"/>
      <c r="E347" s="173"/>
      <c r="F347" s="174"/>
      <c r="G347" s="174"/>
      <c r="H347" s="174"/>
      <c r="I347" s="174"/>
      <c r="J347" s="173"/>
      <c r="K347" s="173"/>
      <c r="L347" s="188"/>
    </row>
    <row r="348" spans="3:12" hidden="1" x14ac:dyDescent="0.25">
      <c r="C348" s="173"/>
      <c r="D348" s="173"/>
      <c r="E348" s="173"/>
      <c r="F348" s="174"/>
      <c r="G348" s="173"/>
      <c r="H348" s="174"/>
      <c r="I348" s="174"/>
      <c r="J348" s="173"/>
      <c r="K348" s="173"/>
      <c r="L348" s="188"/>
    </row>
    <row r="349" spans="3:12" hidden="1" x14ac:dyDescent="0.25">
      <c r="C349" s="173"/>
      <c r="D349" s="173"/>
      <c r="E349" s="173"/>
      <c r="F349" s="174"/>
      <c r="G349" s="173"/>
      <c r="H349" s="174"/>
      <c r="I349" s="174"/>
      <c r="J349" s="173"/>
      <c r="K349" s="173"/>
      <c r="L349" s="188"/>
    </row>
    <row r="350" spans="3:12" hidden="1" x14ac:dyDescent="0.25">
      <c r="C350" s="173"/>
      <c r="D350" s="173"/>
      <c r="E350" s="173"/>
      <c r="F350" s="174"/>
      <c r="G350" s="173"/>
      <c r="H350" s="174"/>
      <c r="I350" s="174"/>
      <c r="J350" s="173"/>
      <c r="K350" s="173"/>
      <c r="L350" s="188"/>
    </row>
    <row r="351" spans="3:12" hidden="1" x14ac:dyDescent="0.25">
      <c r="C351" s="173"/>
      <c r="D351" s="173"/>
      <c r="E351" s="173"/>
      <c r="F351" s="174"/>
      <c r="G351" s="173"/>
      <c r="H351" s="174"/>
      <c r="I351" s="174"/>
      <c r="J351" s="173"/>
      <c r="K351" s="173"/>
      <c r="L351" s="188"/>
    </row>
    <row r="352" spans="3:12" hidden="1" x14ac:dyDescent="0.25">
      <c r="C352" s="173"/>
      <c r="D352" s="173"/>
      <c r="E352" s="173"/>
      <c r="F352" s="174"/>
      <c r="G352" s="173"/>
      <c r="H352" s="174"/>
      <c r="I352" s="174"/>
      <c r="J352" s="173"/>
      <c r="K352" s="173"/>
      <c r="L352" s="188"/>
    </row>
    <row r="353" spans="3:12" hidden="1" x14ac:dyDescent="0.25">
      <c r="C353" s="173"/>
      <c r="D353" s="173"/>
      <c r="E353" s="173"/>
      <c r="F353" s="174"/>
      <c r="G353" s="173"/>
      <c r="H353" s="174"/>
      <c r="I353" s="174"/>
      <c r="J353" s="173"/>
      <c r="K353" s="173"/>
      <c r="L353" s="188"/>
    </row>
    <row r="354" spans="3:12" hidden="1" x14ac:dyDescent="0.25">
      <c r="C354" s="173"/>
      <c r="D354" s="173"/>
      <c r="E354" s="173"/>
      <c r="F354" s="174"/>
      <c r="G354" s="173"/>
      <c r="H354" s="174"/>
      <c r="I354" s="174"/>
      <c r="J354" s="173"/>
      <c r="K354" s="173"/>
      <c r="L354" s="188"/>
    </row>
    <row r="355" spans="3:12" hidden="1" x14ac:dyDescent="0.25">
      <c r="C355" s="173"/>
      <c r="D355" s="173"/>
      <c r="E355" s="173"/>
      <c r="F355" s="174"/>
      <c r="G355" s="174"/>
      <c r="H355" s="174"/>
      <c r="I355" s="174"/>
      <c r="J355" s="173"/>
      <c r="K355" s="173"/>
      <c r="L355" s="188"/>
    </row>
    <row r="356" spans="3:12" hidden="1" x14ac:dyDescent="0.25">
      <c r="C356" s="173"/>
      <c r="D356" s="173"/>
      <c r="E356" s="173"/>
      <c r="F356" s="174"/>
      <c r="G356" s="173"/>
      <c r="H356" s="174"/>
      <c r="I356" s="174"/>
      <c r="J356" s="173"/>
      <c r="K356" s="173"/>
      <c r="L356" s="188"/>
    </row>
    <row r="357" spans="3:12" hidden="1" x14ac:dyDescent="0.25">
      <c r="C357" s="173"/>
      <c r="D357" s="173"/>
      <c r="E357" s="173"/>
      <c r="F357" s="174"/>
      <c r="G357" s="174"/>
      <c r="H357" s="174"/>
      <c r="I357" s="174"/>
      <c r="J357" s="173"/>
      <c r="K357" s="173"/>
      <c r="L357" s="188"/>
    </row>
    <row r="358" spans="3:12" hidden="1" x14ac:dyDescent="0.25">
      <c r="C358" s="173"/>
      <c r="D358" s="173"/>
      <c r="E358" s="173"/>
      <c r="F358" s="174"/>
      <c r="G358" s="173"/>
      <c r="H358" s="174"/>
      <c r="I358" s="174"/>
      <c r="J358" s="173"/>
      <c r="K358" s="173"/>
      <c r="L358" s="188"/>
    </row>
    <row r="359" spans="3:12" hidden="1" x14ac:dyDescent="0.25">
      <c r="C359" s="173"/>
      <c r="D359" s="173"/>
      <c r="E359" s="173"/>
      <c r="F359" s="174"/>
      <c r="G359" s="174"/>
      <c r="H359" s="174"/>
      <c r="I359" s="174"/>
      <c r="J359" s="173"/>
      <c r="K359" s="173"/>
      <c r="L359" s="188"/>
    </row>
    <row r="360" spans="3:12" hidden="1" x14ac:dyDescent="0.25">
      <c r="C360" s="173"/>
      <c r="D360" s="173"/>
      <c r="E360" s="173"/>
      <c r="F360" s="174"/>
      <c r="G360" s="173"/>
      <c r="H360" s="174"/>
      <c r="I360" s="174"/>
      <c r="J360" s="173"/>
      <c r="K360" s="173"/>
      <c r="L360" s="188"/>
    </row>
    <row r="361" spans="3:12" hidden="1" x14ac:dyDescent="0.25">
      <c r="C361" s="173"/>
      <c r="D361" s="173"/>
      <c r="E361" s="173"/>
      <c r="F361" s="174"/>
      <c r="G361" s="174"/>
      <c r="H361" s="174"/>
      <c r="I361" s="174"/>
      <c r="J361" s="173"/>
      <c r="K361" s="173"/>
      <c r="L361" s="188"/>
    </row>
    <row r="362" spans="3:12" hidden="1" x14ac:dyDescent="0.25">
      <c r="C362" s="173"/>
      <c r="D362" s="173"/>
      <c r="E362" s="173"/>
      <c r="F362" s="174"/>
      <c r="G362" s="174"/>
      <c r="H362" s="174"/>
      <c r="I362" s="174"/>
      <c r="J362" s="173"/>
      <c r="K362" s="173"/>
      <c r="L362" s="188"/>
    </row>
    <row r="363" spans="3:12" hidden="1" x14ac:dyDescent="0.25">
      <c r="C363" s="173"/>
      <c r="D363" s="173"/>
      <c r="E363" s="173"/>
      <c r="F363" s="174"/>
      <c r="G363" s="174"/>
      <c r="H363" s="174"/>
      <c r="I363" s="174"/>
      <c r="J363" s="173"/>
      <c r="K363" s="173"/>
      <c r="L363" s="188"/>
    </row>
    <row r="364" spans="3:12" hidden="1" x14ac:dyDescent="0.25">
      <c r="C364" s="173"/>
      <c r="D364" s="173"/>
      <c r="E364" s="173"/>
      <c r="F364" s="174"/>
      <c r="G364" s="174"/>
      <c r="H364" s="174"/>
      <c r="I364" s="174"/>
      <c r="J364" s="173"/>
      <c r="K364" s="173"/>
      <c r="L364" s="188"/>
    </row>
    <row r="365" spans="3:12" hidden="1" x14ac:dyDescent="0.25">
      <c r="C365" s="173"/>
      <c r="D365" s="173"/>
      <c r="E365" s="173"/>
      <c r="F365" s="174"/>
      <c r="G365" s="173"/>
      <c r="H365" s="174"/>
      <c r="I365" s="174"/>
      <c r="J365" s="173"/>
      <c r="K365" s="173"/>
      <c r="L365" s="188"/>
    </row>
    <row r="366" spans="3:12" hidden="1" x14ac:dyDescent="0.25">
      <c r="C366" s="173"/>
      <c r="D366" s="173"/>
      <c r="E366" s="173"/>
      <c r="F366" s="174"/>
      <c r="G366" s="173"/>
      <c r="H366" s="174"/>
      <c r="I366" s="174"/>
      <c r="J366" s="173"/>
      <c r="K366" s="173"/>
      <c r="L366" s="188"/>
    </row>
    <row r="367" spans="3:12" hidden="1" x14ac:dyDescent="0.25">
      <c r="C367" s="173"/>
      <c r="D367" s="173"/>
      <c r="E367" s="173"/>
      <c r="F367" s="174"/>
      <c r="G367" s="174"/>
      <c r="H367" s="174"/>
      <c r="I367" s="174"/>
      <c r="J367" s="173"/>
      <c r="K367" s="173"/>
      <c r="L367" s="188"/>
    </row>
    <row r="368" spans="3:12" hidden="1" x14ac:dyDescent="0.25">
      <c r="C368" s="173"/>
      <c r="D368" s="173"/>
      <c r="E368" s="173"/>
      <c r="F368" s="174"/>
      <c r="G368" s="173"/>
      <c r="H368" s="174"/>
      <c r="I368" s="174"/>
      <c r="J368" s="173"/>
      <c r="K368" s="173"/>
      <c r="L368" s="188"/>
    </row>
    <row r="369" spans="3:12" hidden="1" x14ac:dyDescent="0.25">
      <c r="C369" s="173"/>
      <c r="D369" s="173"/>
      <c r="E369" s="173"/>
      <c r="F369" s="174"/>
      <c r="G369" s="173"/>
      <c r="H369" s="174"/>
      <c r="I369" s="174"/>
      <c r="J369" s="173"/>
      <c r="K369" s="173"/>
      <c r="L369" s="188"/>
    </row>
    <row r="370" spans="3:12" hidden="1" x14ac:dyDescent="0.25">
      <c r="C370" s="173"/>
      <c r="D370" s="173"/>
      <c r="E370" s="173"/>
      <c r="F370" s="174"/>
      <c r="G370" s="174"/>
      <c r="H370" s="174"/>
      <c r="I370" s="174"/>
      <c r="J370" s="173"/>
      <c r="K370" s="173"/>
      <c r="L370" s="188"/>
    </row>
    <row r="371" spans="3:12" hidden="1" x14ac:dyDescent="0.25">
      <c r="C371" s="173"/>
      <c r="D371" s="173"/>
      <c r="E371" s="173"/>
      <c r="F371" s="174"/>
      <c r="G371" s="174"/>
      <c r="H371" s="174"/>
      <c r="I371" s="174"/>
      <c r="J371" s="173"/>
      <c r="K371" s="173"/>
      <c r="L371" s="188"/>
    </row>
    <row r="372" spans="3:12" hidden="1" x14ac:dyDescent="0.25">
      <c r="C372" s="173"/>
      <c r="D372" s="173"/>
      <c r="E372" s="173"/>
      <c r="F372" s="174"/>
      <c r="G372" s="174"/>
      <c r="H372" s="174"/>
      <c r="I372" s="174"/>
      <c r="J372" s="173"/>
      <c r="K372" s="173"/>
      <c r="L372" s="188"/>
    </row>
    <row r="373" spans="3:12" hidden="1" x14ac:dyDescent="0.25">
      <c r="C373" s="173"/>
      <c r="D373" s="173"/>
      <c r="E373" s="173"/>
      <c r="F373" s="174"/>
      <c r="G373" s="174"/>
      <c r="H373" s="174"/>
      <c r="I373" s="174"/>
      <c r="J373" s="173"/>
      <c r="K373" s="173"/>
      <c r="L373" s="188"/>
    </row>
    <row r="374" spans="3:12" hidden="1" x14ac:dyDescent="0.25">
      <c r="C374" s="173"/>
      <c r="D374" s="173"/>
      <c r="E374" s="173"/>
      <c r="F374" s="173"/>
      <c r="G374" s="174"/>
      <c r="H374" s="174"/>
      <c r="I374" s="174"/>
      <c r="J374" s="173"/>
      <c r="K374" s="173"/>
      <c r="L374" s="188"/>
    </row>
    <row r="375" spans="3:12" hidden="1" x14ac:dyDescent="0.25">
      <c r="C375" s="173"/>
      <c r="D375" s="173"/>
      <c r="E375" s="173"/>
      <c r="F375" s="174"/>
      <c r="G375" s="174"/>
      <c r="H375" s="174"/>
      <c r="I375" s="174"/>
      <c r="J375" s="173"/>
      <c r="K375" s="173"/>
      <c r="L375" s="188"/>
    </row>
    <row r="376" spans="3:12" hidden="1" x14ac:dyDescent="0.25">
      <c r="C376" s="173"/>
      <c r="D376" s="173"/>
      <c r="E376" s="173"/>
      <c r="F376" s="173"/>
      <c r="G376" s="174"/>
      <c r="H376" s="174"/>
      <c r="I376" s="174"/>
      <c r="J376" s="173"/>
      <c r="K376" s="173"/>
      <c r="L376" s="188"/>
    </row>
    <row r="377" spans="3:12" hidden="1" x14ac:dyDescent="0.25">
      <c r="C377" s="173"/>
      <c r="D377" s="173"/>
      <c r="E377" s="173"/>
      <c r="F377" s="174"/>
      <c r="G377" s="174"/>
      <c r="H377" s="174"/>
      <c r="I377" s="174"/>
      <c r="J377" s="173"/>
      <c r="K377" s="173"/>
      <c r="L377" s="188"/>
    </row>
    <row r="378" spans="3:12" hidden="1" x14ac:dyDescent="0.25">
      <c r="C378" s="173"/>
      <c r="D378" s="173"/>
      <c r="E378" s="173"/>
      <c r="F378" s="173"/>
      <c r="G378" s="173"/>
      <c r="H378" s="174"/>
      <c r="I378" s="174"/>
      <c r="J378" s="173"/>
      <c r="K378" s="173"/>
      <c r="L378" s="188"/>
    </row>
    <row r="379" spans="3:12" hidden="1" x14ac:dyDescent="0.25">
      <c r="C379" s="173"/>
      <c r="D379" s="173"/>
      <c r="E379" s="173"/>
      <c r="F379" s="173"/>
      <c r="G379" s="174"/>
      <c r="H379" s="174"/>
      <c r="I379" s="174"/>
      <c r="J379" s="173"/>
      <c r="K379" s="173"/>
      <c r="L379" s="188"/>
    </row>
    <row r="380" spans="3:12" hidden="1" x14ac:dyDescent="0.25">
      <c r="C380" s="173"/>
      <c r="D380" s="173"/>
      <c r="E380" s="173"/>
      <c r="F380" s="173"/>
      <c r="G380" s="174"/>
      <c r="H380" s="174"/>
      <c r="I380" s="174"/>
      <c r="J380" s="173"/>
      <c r="K380" s="173"/>
      <c r="L380" s="188"/>
    </row>
    <row r="381" spans="3:12" hidden="1" x14ac:dyDescent="0.25">
      <c r="C381" s="173"/>
      <c r="D381" s="173"/>
      <c r="E381" s="173"/>
      <c r="F381" s="173"/>
      <c r="G381" s="173"/>
      <c r="H381" s="174"/>
      <c r="I381" s="174"/>
      <c r="J381" s="173"/>
      <c r="K381" s="173"/>
      <c r="L381" s="188"/>
    </row>
    <row r="382" spans="3:12" hidden="1" x14ac:dyDescent="0.25">
      <c r="C382" s="173"/>
      <c r="D382" s="173"/>
      <c r="E382" s="173"/>
      <c r="F382" s="173"/>
      <c r="G382" s="173"/>
      <c r="H382" s="174"/>
      <c r="I382" s="174"/>
      <c r="J382" s="173"/>
      <c r="K382" s="173"/>
      <c r="L382" s="188"/>
    </row>
    <row r="383" spans="3:12" hidden="1" x14ac:dyDescent="0.25">
      <c r="C383" s="173"/>
      <c r="D383" s="173"/>
      <c r="E383" s="173"/>
      <c r="F383" s="173"/>
      <c r="G383" s="174"/>
      <c r="H383" s="174"/>
      <c r="I383" s="174"/>
      <c r="J383" s="173"/>
      <c r="K383" s="173"/>
      <c r="L383" s="188"/>
    </row>
    <row r="384" spans="3:12" hidden="1" x14ac:dyDescent="0.25">
      <c r="C384" s="173"/>
      <c r="D384" s="173"/>
      <c r="E384" s="173"/>
      <c r="F384" s="173"/>
      <c r="G384" s="174"/>
      <c r="H384" s="174"/>
      <c r="I384" s="174"/>
      <c r="J384" s="173"/>
      <c r="K384" s="173"/>
      <c r="L384" s="188"/>
    </row>
    <row r="385" spans="3:12" hidden="1" x14ac:dyDescent="0.25">
      <c r="C385" s="173"/>
      <c r="D385" s="173"/>
      <c r="E385" s="173"/>
      <c r="F385" s="173"/>
      <c r="G385" s="174"/>
      <c r="H385" s="174"/>
      <c r="I385" s="174"/>
      <c r="J385" s="173"/>
      <c r="K385" s="173"/>
      <c r="L385" s="188"/>
    </row>
    <row r="386" spans="3:12" hidden="1" x14ac:dyDescent="0.25">
      <c r="C386" s="173"/>
      <c r="D386" s="173"/>
      <c r="E386" s="173"/>
      <c r="F386" s="173"/>
      <c r="G386" s="174"/>
      <c r="H386" s="174"/>
      <c r="I386" s="174"/>
      <c r="J386" s="173"/>
      <c r="K386" s="173"/>
      <c r="L386" s="188"/>
    </row>
    <row r="387" spans="3:12" hidden="1" x14ac:dyDescent="0.25">
      <c r="C387" s="173"/>
      <c r="D387" s="173"/>
      <c r="E387" s="173"/>
      <c r="F387" s="173"/>
      <c r="G387" s="173"/>
      <c r="H387" s="174"/>
      <c r="I387" s="174"/>
      <c r="J387" s="173"/>
      <c r="K387" s="173"/>
      <c r="L387" s="188"/>
    </row>
    <row r="388" spans="3:12" hidden="1" x14ac:dyDescent="0.25">
      <c r="C388" s="173"/>
      <c r="D388" s="173"/>
      <c r="E388" s="173"/>
      <c r="F388" s="173"/>
      <c r="G388" s="174"/>
      <c r="H388" s="174"/>
      <c r="I388" s="174"/>
      <c r="J388" s="173"/>
      <c r="K388" s="173"/>
      <c r="L388" s="188"/>
    </row>
    <row r="389" spans="3:12" hidden="1" x14ac:dyDescent="0.25">
      <c r="C389" s="173"/>
      <c r="D389" s="173"/>
      <c r="E389" s="173"/>
      <c r="F389" s="173"/>
      <c r="G389" s="174"/>
      <c r="H389" s="174"/>
      <c r="I389" s="174"/>
      <c r="J389" s="173"/>
      <c r="K389" s="173"/>
      <c r="L389" s="188"/>
    </row>
    <row r="390" spans="3:12" hidden="1" x14ac:dyDescent="0.25">
      <c r="C390" s="173"/>
      <c r="D390" s="173"/>
      <c r="E390" s="173"/>
      <c r="F390" s="173"/>
      <c r="G390" s="174"/>
      <c r="H390" s="174"/>
      <c r="I390" s="174"/>
      <c r="J390" s="173"/>
      <c r="K390" s="173"/>
      <c r="L390" s="188"/>
    </row>
    <row r="391" spans="3:12" hidden="1" x14ac:dyDescent="0.25">
      <c r="C391" s="173"/>
      <c r="D391" s="173"/>
      <c r="E391" s="173"/>
      <c r="F391" s="173"/>
      <c r="G391" s="174"/>
      <c r="H391" s="174"/>
      <c r="I391" s="174"/>
      <c r="J391" s="173"/>
      <c r="K391" s="173"/>
      <c r="L391" s="188"/>
    </row>
    <row r="392" spans="3:12" hidden="1" x14ac:dyDescent="0.25">
      <c r="C392" s="173"/>
      <c r="D392" s="173"/>
      <c r="E392" s="173"/>
      <c r="F392" s="173"/>
      <c r="G392" s="174"/>
      <c r="H392" s="174"/>
      <c r="I392" s="174"/>
      <c r="J392" s="173"/>
      <c r="K392" s="173"/>
      <c r="L392" s="188"/>
    </row>
    <row r="393" spans="3:12" hidden="1" x14ac:dyDescent="0.25">
      <c r="C393" s="173"/>
      <c r="D393" s="173"/>
      <c r="E393" s="173"/>
      <c r="F393" s="173"/>
      <c r="G393" s="174"/>
      <c r="H393" s="174"/>
      <c r="I393" s="174"/>
      <c r="J393" s="173"/>
      <c r="K393" s="173"/>
      <c r="L393" s="188"/>
    </row>
    <row r="394" spans="3:12" hidden="1" x14ac:dyDescent="0.25">
      <c r="C394" s="173"/>
      <c r="D394" s="173"/>
      <c r="E394" s="173"/>
      <c r="F394" s="173"/>
      <c r="G394" s="174"/>
      <c r="H394" s="174"/>
      <c r="I394" s="174"/>
      <c r="J394" s="173"/>
      <c r="K394" s="173"/>
      <c r="L394" s="188"/>
    </row>
    <row r="395" spans="3:12" hidden="1" x14ac:dyDescent="0.25">
      <c r="C395" s="173"/>
      <c r="D395" s="173"/>
      <c r="E395" s="173"/>
      <c r="F395" s="173"/>
      <c r="G395" s="174"/>
      <c r="H395" s="174"/>
      <c r="I395" s="174"/>
      <c r="J395" s="173"/>
      <c r="K395" s="173"/>
      <c r="L395" s="188"/>
    </row>
    <row r="396" spans="3:12" hidden="1" x14ac:dyDescent="0.25">
      <c r="C396" s="173"/>
      <c r="D396" s="173"/>
      <c r="E396" s="173"/>
      <c r="F396" s="173"/>
      <c r="G396" s="174"/>
      <c r="H396" s="174"/>
      <c r="I396" s="174"/>
      <c r="J396" s="173"/>
      <c r="K396" s="173"/>
      <c r="L396" s="188"/>
    </row>
    <row r="397" spans="3:12" hidden="1" x14ac:dyDescent="0.25">
      <c r="C397" s="173"/>
      <c r="D397" s="173"/>
      <c r="E397" s="173"/>
      <c r="F397" s="173"/>
      <c r="G397" s="174"/>
      <c r="H397" s="174"/>
      <c r="I397" s="174"/>
      <c r="J397" s="173"/>
      <c r="K397" s="173"/>
      <c r="L397" s="188"/>
    </row>
    <row r="398" spans="3:12" hidden="1" x14ac:dyDescent="0.25">
      <c r="C398" s="173"/>
      <c r="D398" s="173"/>
      <c r="E398" s="173"/>
      <c r="F398" s="173"/>
      <c r="G398" s="174"/>
      <c r="H398" s="174"/>
      <c r="I398" s="174"/>
      <c r="J398" s="173"/>
      <c r="K398" s="173"/>
      <c r="L398" s="188"/>
    </row>
    <row r="399" spans="3:12" hidden="1" x14ac:dyDescent="0.25">
      <c r="C399" s="173"/>
      <c r="D399" s="173"/>
      <c r="E399" s="173"/>
      <c r="F399" s="173"/>
      <c r="G399" s="174"/>
      <c r="H399" s="174"/>
      <c r="I399" s="174"/>
      <c r="J399" s="173"/>
      <c r="K399" s="173"/>
      <c r="L399" s="188"/>
    </row>
    <row r="400" spans="3:12" hidden="1" x14ac:dyDescent="0.25">
      <c r="C400" s="173"/>
      <c r="D400" s="173"/>
      <c r="E400" s="173"/>
      <c r="F400" s="173"/>
      <c r="G400" s="174"/>
      <c r="H400" s="174"/>
      <c r="I400" s="174"/>
      <c r="J400" s="173"/>
      <c r="K400" s="173"/>
      <c r="L400" s="188"/>
    </row>
    <row r="401" spans="3:12" hidden="1" x14ac:dyDescent="0.25">
      <c r="C401" s="173"/>
      <c r="D401" s="173"/>
      <c r="E401" s="173"/>
      <c r="F401" s="173"/>
      <c r="G401" s="173"/>
      <c r="H401" s="174"/>
      <c r="I401" s="174"/>
      <c r="J401" s="173"/>
      <c r="K401" s="173"/>
      <c r="L401" s="188"/>
    </row>
    <row r="402" spans="3:12" hidden="1" x14ac:dyDescent="0.25">
      <c r="C402" s="173"/>
      <c r="D402" s="173"/>
      <c r="E402" s="173"/>
      <c r="F402" s="173"/>
      <c r="G402" s="173"/>
      <c r="H402" s="174"/>
      <c r="I402" s="174"/>
      <c r="J402" s="173"/>
      <c r="K402" s="173"/>
      <c r="L402" s="188"/>
    </row>
    <row r="403" spans="3:12" hidden="1" x14ac:dyDescent="0.25">
      <c r="C403" s="173"/>
      <c r="D403" s="173"/>
      <c r="E403" s="173"/>
      <c r="F403" s="173"/>
      <c r="G403" s="174"/>
      <c r="H403" s="174"/>
      <c r="I403" s="174"/>
      <c r="J403" s="173"/>
      <c r="K403" s="173"/>
      <c r="L403" s="188"/>
    </row>
    <row r="404" spans="3:12" hidden="1" x14ac:dyDescent="0.25">
      <c r="C404" s="173"/>
      <c r="D404" s="173"/>
      <c r="E404" s="173"/>
      <c r="F404" s="173"/>
      <c r="G404" s="173"/>
      <c r="H404" s="174"/>
      <c r="I404" s="174"/>
      <c r="J404" s="173"/>
      <c r="K404" s="173"/>
      <c r="L404" s="188"/>
    </row>
    <row r="405" spans="3:12" hidden="1" x14ac:dyDescent="0.25">
      <c r="C405" s="173"/>
      <c r="D405" s="173"/>
      <c r="E405" s="173"/>
      <c r="F405" s="173"/>
      <c r="G405" s="173"/>
      <c r="H405" s="174"/>
      <c r="I405" s="174"/>
      <c r="J405" s="173"/>
      <c r="K405" s="173"/>
      <c r="L405" s="188"/>
    </row>
    <row r="406" spans="3:12" hidden="1" x14ac:dyDescent="0.25">
      <c r="C406" s="173"/>
      <c r="D406" s="173"/>
      <c r="E406" s="173"/>
      <c r="F406" s="173"/>
      <c r="G406" s="173"/>
      <c r="H406" s="174"/>
      <c r="I406" s="174"/>
      <c r="J406" s="173"/>
      <c r="K406" s="173"/>
      <c r="L406" s="188"/>
    </row>
    <row r="407" spans="3:12" hidden="1" x14ac:dyDescent="0.25">
      <c r="C407" s="173"/>
      <c r="D407" s="173"/>
      <c r="E407" s="173"/>
      <c r="F407" s="173"/>
      <c r="G407" s="174"/>
      <c r="H407" s="174"/>
      <c r="I407" s="174"/>
      <c r="J407" s="173"/>
      <c r="K407" s="173"/>
      <c r="L407" s="188"/>
    </row>
    <row r="408" spans="3:12" hidden="1" x14ac:dyDescent="0.25">
      <c r="C408" s="173"/>
      <c r="D408" s="173"/>
      <c r="E408" s="173"/>
      <c r="F408" s="173"/>
      <c r="G408" s="174"/>
      <c r="H408" s="174"/>
      <c r="I408" s="174"/>
      <c r="J408" s="173"/>
      <c r="K408" s="173"/>
      <c r="L408" s="188"/>
    </row>
    <row r="409" spans="3:12" hidden="1" x14ac:dyDescent="0.25">
      <c r="C409" s="173"/>
      <c r="D409" s="173"/>
      <c r="E409" s="173"/>
      <c r="F409" s="173"/>
      <c r="G409" s="174"/>
      <c r="H409" s="174"/>
      <c r="I409" s="174"/>
      <c r="J409" s="173"/>
      <c r="K409" s="173"/>
      <c r="L409" s="188"/>
    </row>
    <row r="410" spans="3:12" hidden="1" x14ac:dyDescent="0.25">
      <c r="C410" s="173"/>
      <c r="D410" s="173"/>
      <c r="E410" s="173"/>
      <c r="F410" s="173"/>
      <c r="G410" s="174"/>
      <c r="H410" s="174"/>
      <c r="I410" s="174"/>
      <c r="J410" s="173"/>
      <c r="K410" s="173"/>
      <c r="L410" s="188"/>
    </row>
    <row r="411" spans="3:12" hidden="1" x14ac:dyDescent="0.25">
      <c r="C411" s="173"/>
      <c r="D411" s="173"/>
      <c r="E411" s="173"/>
      <c r="F411" s="174"/>
      <c r="G411" s="173"/>
      <c r="H411" s="174"/>
      <c r="I411" s="174"/>
      <c r="J411" s="173"/>
      <c r="K411" s="173"/>
      <c r="L411" s="188"/>
    </row>
    <row r="412" spans="3:12" hidden="1" x14ac:dyDescent="0.25">
      <c r="C412" s="173"/>
      <c r="D412" s="173"/>
      <c r="E412" s="173"/>
      <c r="F412" s="174"/>
      <c r="G412" s="174"/>
      <c r="H412" s="174"/>
      <c r="I412" s="174"/>
      <c r="J412" s="173"/>
      <c r="K412" s="173"/>
      <c r="L412" s="188"/>
    </row>
    <row r="413" spans="3:12" hidden="1" x14ac:dyDescent="0.25">
      <c r="C413" s="173"/>
      <c r="D413" s="173"/>
      <c r="E413" s="173"/>
      <c r="F413" s="174"/>
      <c r="G413" s="173"/>
      <c r="H413" s="174"/>
      <c r="I413" s="174"/>
      <c r="J413" s="173"/>
      <c r="K413" s="173"/>
      <c r="L413" s="188"/>
    </row>
    <row r="414" spans="3:12" hidden="1" x14ac:dyDescent="0.25">
      <c r="C414" s="173"/>
      <c r="D414" s="173"/>
      <c r="E414" s="173"/>
      <c r="F414" s="174"/>
      <c r="G414" s="173"/>
      <c r="H414" s="174"/>
      <c r="I414" s="174"/>
      <c r="J414" s="173"/>
      <c r="K414" s="173"/>
      <c r="L414" s="188"/>
    </row>
    <row r="415" spans="3:12" hidden="1" x14ac:dyDescent="0.25">
      <c r="C415" s="173"/>
      <c r="D415" s="173"/>
      <c r="E415" s="173"/>
      <c r="F415" s="174"/>
      <c r="G415" s="173"/>
      <c r="H415" s="174"/>
      <c r="I415" s="174"/>
      <c r="J415" s="173"/>
      <c r="K415" s="173"/>
      <c r="L415" s="188"/>
    </row>
    <row r="416" spans="3:12" hidden="1" x14ac:dyDescent="0.25">
      <c r="C416" s="173"/>
      <c r="D416" s="173"/>
      <c r="E416" s="173"/>
      <c r="F416" s="174"/>
      <c r="G416" s="173"/>
      <c r="H416" s="174"/>
      <c r="I416" s="174"/>
      <c r="J416" s="173"/>
      <c r="K416" s="173"/>
      <c r="L416" s="188"/>
    </row>
    <row r="417" spans="3:12" hidden="1" x14ac:dyDescent="0.25">
      <c r="C417" s="173"/>
      <c r="D417" s="173"/>
      <c r="E417" s="173"/>
      <c r="F417" s="174"/>
      <c r="G417" s="173"/>
      <c r="H417" s="174"/>
      <c r="I417" s="174"/>
      <c r="J417" s="173"/>
      <c r="K417" s="173"/>
      <c r="L417" s="188"/>
    </row>
    <row r="418" spans="3:12" hidden="1" x14ac:dyDescent="0.25">
      <c r="C418" s="173"/>
      <c r="D418" s="173"/>
      <c r="E418" s="173"/>
      <c r="F418" s="174"/>
      <c r="G418" s="173"/>
      <c r="H418" s="174"/>
      <c r="I418" s="174"/>
      <c r="J418" s="173"/>
      <c r="K418" s="173"/>
      <c r="L418" s="188"/>
    </row>
    <row r="419" spans="3:12" hidden="1" x14ac:dyDescent="0.25">
      <c r="C419" s="173"/>
      <c r="D419" s="173"/>
      <c r="E419" s="173"/>
      <c r="F419" s="173"/>
      <c r="G419" s="173"/>
      <c r="H419" s="174"/>
      <c r="I419" s="174"/>
      <c r="J419" s="173"/>
      <c r="K419" s="173"/>
      <c r="L419" s="188"/>
    </row>
    <row r="420" spans="3:12" hidden="1" x14ac:dyDescent="0.25">
      <c r="C420" s="173"/>
      <c r="D420" s="173"/>
      <c r="E420" s="173"/>
      <c r="F420" s="174"/>
      <c r="G420" s="173"/>
      <c r="H420" s="174"/>
      <c r="I420" s="174"/>
      <c r="J420" s="173"/>
      <c r="K420" s="173"/>
      <c r="L420" s="188"/>
    </row>
    <row r="421" spans="3:12" hidden="1" x14ac:dyDescent="0.25">
      <c r="C421" s="173"/>
      <c r="D421" s="173"/>
      <c r="E421" s="173"/>
      <c r="F421" s="173"/>
      <c r="G421" s="173"/>
      <c r="H421" s="174"/>
      <c r="I421" s="174"/>
      <c r="J421" s="173"/>
      <c r="K421" s="173"/>
      <c r="L421" s="188"/>
    </row>
    <row r="422" spans="3:12" hidden="1" x14ac:dyDescent="0.25">
      <c r="C422" s="173"/>
      <c r="D422" s="173"/>
      <c r="E422" s="173"/>
      <c r="F422" s="174"/>
      <c r="G422" s="173"/>
      <c r="H422" s="174"/>
      <c r="I422" s="174"/>
      <c r="J422" s="173"/>
      <c r="K422" s="173"/>
      <c r="L422" s="188"/>
    </row>
    <row r="423" spans="3:12" hidden="1" x14ac:dyDescent="0.25">
      <c r="C423" s="173"/>
      <c r="D423" s="173"/>
      <c r="E423" s="173"/>
      <c r="F423" s="174"/>
      <c r="G423" s="173"/>
      <c r="H423" s="174"/>
      <c r="I423" s="174"/>
      <c r="J423" s="173"/>
      <c r="K423" s="173"/>
      <c r="L423" s="188"/>
    </row>
    <row r="424" spans="3:12" hidden="1" x14ac:dyDescent="0.25">
      <c r="C424" s="173"/>
      <c r="D424" s="173"/>
      <c r="E424" s="173"/>
      <c r="F424" s="173"/>
      <c r="G424" s="173"/>
      <c r="H424" s="174"/>
      <c r="I424" s="174"/>
      <c r="J424" s="173"/>
      <c r="K424" s="173"/>
      <c r="L424" s="188"/>
    </row>
    <row r="425" spans="3:12" hidden="1" x14ac:dyDescent="0.25">
      <c r="C425" s="173"/>
      <c r="D425" s="173"/>
      <c r="E425" s="173"/>
      <c r="F425" s="174"/>
      <c r="G425" s="173"/>
      <c r="H425" s="174"/>
      <c r="I425" s="174"/>
      <c r="J425" s="173"/>
      <c r="K425" s="173"/>
      <c r="L425" s="188"/>
    </row>
    <row r="426" spans="3:12" hidden="1" x14ac:dyDescent="0.25">
      <c r="C426" s="173"/>
      <c r="D426" s="173"/>
      <c r="E426" s="173"/>
      <c r="F426" s="173"/>
      <c r="G426" s="174"/>
      <c r="H426" s="174"/>
      <c r="I426" s="174"/>
      <c r="J426" s="173"/>
      <c r="K426" s="173"/>
      <c r="L426" s="188"/>
    </row>
    <row r="427" spans="3:12" hidden="1" x14ac:dyDescent="0.25">
      <c r="C427" s="173"/>
      <c r="D427" s="173"/>
      <c r="E427" s="173"/>
      <c r="F427" s="174"/>
      <c r="G427" s="174"/>
      <c r="H427" s="174"/>
      <c r="I427" s="174"/>
      <c r="J427" s="173"/>
      <c r="K427" s="173"/>
      <c r="L427" s="188"/>
    </row>
    <row r="428" spans="3:12" hidden="1" x14ac:dyDescent="0.25">
      <c r="C428" s="173"/>
      <c r="D428" s="173"/>
      <c r="E428" s="173"/>
      <c r="F428" s="174"/>
      <c r="G428" s="174"/>
      <c r="H428" s="174"/>
      <c r="I428" s="174"/>
      <c r="J428" s="173"/>
      <c r="K428" s="173"/>
      <c r="L428" s="188"/>
    </row>
    <row r="429" spans="3:12" hidden="1" x14ac:dyDescent="0.25">
      <c r="C429" s="173"/>
      <c r="D429" s="173"/>
      <c r="E429" s="173"/>
      <c r="F429" s="173"/>
      <c r="G429" s="174"/>
      <c r="H429" s="174"/>
      <c r="I429" s="174"/>
      <c r="J429" s="173"/>
      <c r="K429" s="173"/>
      <c r="L429" s="188"/>
    </row>
    <row r="430" spans="3:12" hidden="1" x14ac:dyDescent="0.25">
      <c r="C430" s="173"/>
      <c r="D430" s="173"/>
      <c r="E430" s="173"/>
      <c r="F430" s="173"/>
      <c r="G430" s="174"/>
      <c r="H430" s="174"/>
      <c r="I430" s="174"/>
      <c r="J430" s="173"/>
      <c r="K430" s="173"/>
      <c r="L430" s="188"/>
    </row>
    <row r="431" spans="3:12" hidden="1" x14ac:dyDescent="0.25">
      <c r="C431" s="173"/>
      <c r="D431" s="173"/>
      <c r="E431" s="173"/>
      <c r="F431" s="173"/>
      <c r="G431" s="174"/>
      <c r="H431" s="174"/>
      <c r="I431" s="174"/>
      <c r="J431" s="173"/>
      <c r="K431" s="173"/>
      <c r="L431" s="188"/>
    </row>
    <row r="432" spans="3:12" hidden="1" x14ac:dyDescent="0.25">
      <c r="C432" s="173"/>
      <c r="D432" s="173"/>
      <c r="E432" s="173"/>
      <c r="F432" s="174"/>
      <c r="G432" s="173"/>
      <c r="H432" s="174"/>
      <c r="I432" s="174"/>
      <c r="J432" s="173"/>
      <c r="K432" s="173"/>
      <c r="L432" s="188"/>
    </row>
    <row r="433" spans="3:12" hidden="1" x14ac:dyDescent="0.25">
      <c r="C433" s="173"/>
      <c r="D433" s="173"/>
      <c r="E433" s="173"/>
      <c r="F433" s="173"/>
      <c r="G433" s="174"/>
      <c r="H433" s="174"/>
      <c r="I433" s="174"/>
      <c r="J433" s="173"/>
      <c r="K433" s="173"/>
      <c r="L433" s="188"/>
    </row>
    <row r="434" spans="3:12" hidden="1" x14ac:dyDescent="0.25">
      <c r="C434" s="173"/>
      <c r="D434" s="173"/>
      <c r="E434" s="173"/>
      <c r="F434" s="174"/>
      <c r="G434" s="173"/>
      <c r="H434" s="174"/>
      <c r="I434" s="174"/>
      <c r="J434" s="173"/>
      <c r="K434" s="173"/>
      <c r="L434" s="188"/>
    </row>
    <row r="435" spans="3:12" hidden="1" x14ac:dyDescent="0.25">
      <c r="C435" s="173"/>
      <c r="D435" s="173"/>
      <c r="E435" s="173"/>
      <c r="F435" s="173"/>
      <c r="G435" s="173"/>
      <c r="H435" s="174"/>
      <c r="I435" s="174"/>
      <c r="J435" s="173"/>
      <c r="K435" s="173"/>
      <c r="L435" s="188"/>
    </row>
    <row r="436" spans="3:12" hidden="1" x14ac:dyDescent="0.25">
      <c r="C436" s="173"/>
      <c r="D436" s="173"/>
      <c r="E436" s="173"/>
      <c r="F436" s="173"/>
      <c r="G436" s="173"/>
      <c r="H436" s="174"/>
      <c r="I436" s="174"/>
      <c r="J436" s="173"/>
      <c r="K436" s="173"/>
      <c r="L436" s="188"/>
    </row>
    <row r="437" spans="3:12" hidden="1" x14ac:dyDescent="0.25">
      <c r="C437" s="173"/>
      <c r="D437" s="173"/>
      <c r="E437" s="173"/>
      <c r="F437" s="174"/>
      <c r="G437" s="173"/>
      <c r="H437" s="174"/>
      <c r="I437" s="174"/>
      <c r="J437" s="173"/>
      <c r="K437" s="173"/>
      <c r="L437" s="188"/>
    </row>
    <row r="438" spans="3:12" hidden="1" x14ac:dyDescent="0.25">
      <c r="C438" s="173"/>
      <c r="D438" s="173"/>
      <c r="E438" s="173"/>
      <c r="F438" s="174"/>
      <c r="G438" s="173"/>
      <c r="H438" s="174"/>
      <c r="I438" s="174"/>
      <c r="J438" s="173"/>
      <c r="K438" s="173"/>
      <c r="L438" s="188"/>
    </row>
    <row r="439" spans="3:12" hidden="1" x14ac:dyDescent="0.25">
      <c r="C439" s="173"/>
      <c r="D439" s="173"/>
      <c r="E439" s="173"/>
      <c r="F439" s="174"/>
      <c r="G439" s="173"/>
      <c r="H439" s="174"/>
      <c r="I439" s="174"/>
      <c r="J439" s="173"/>
      <c r="K439" s="173"/>
      <c r="L439" s="188"/>
    </row>
    <row r="440" spans="3:12" hidden="1" x14ac:dyDescent="0.25">
      <c r="C440" s="173"/>
      <c r="D440" s="173"/>
      <c r="E440" s="173"/>
      <c r="F440" s="174"/>
      <c r="G440" s="173"/>
      <c r="H440" s="174"/>
      <c r="I440" s="174"/>
      <c r="J440" s="173"/>
      <c r="K440" s="173"/>
      <c r="L440" s="188"/>
    </row>
    <row r="441" spans="3:12" hidden="1" x14ac:dyDescent="0.25">
      <c r="C441" s="173"/>
      <c r="D441" s="173"/>
      <c r="E441" s="173"/>
      <c r="F441" s="174"/>
      <c r="G441" s="173"/>
      <c r="H441" s="174"/>
      <c r="I441" s="174"/>
      <c r="J441" s="173"/>
      <c r="K441" s="173"/>
      <c r="L441" s="188"/>
    </row>
    <row r="442" spans="3:12" hidden="1" x14ac:dyDescent="0.25">
      <c r="C442" s="173"/>
      <c r="D442" s="173"/>
      <c r="E442" s="173"/>
      <c r="F442" s="174"/>
      <c r="G442" s="173"/>
      <c r="H442" s="174"/>
      <c r="I442" s="174"/>
      <c r="J442" s="173"/>
      <c r="K442" s="173"/>
      <c r="L442" s="188"/>
    </row>
    <row r="443" spans="3:12" hidden="1" x14ac:dyDescent="0.25">
      <c r="C443" s="173"/>
      <c r="D443" s="173"/>
      <c r="E443" s="173"/>
      <c r="F443" s="174"/>
      <c r="G443" s="173"/>
      <c r="H443" s="174"/>
      <c r="I443" s="174"/>
      <c r="J443" s="173"/>
      <c r="K443" s="173"/>
      <c r="L443" s="188"/>
    </row>
    <row r="444" spans="3:12" hidden="1" x14ac:dyDescent="0.25">
      <c r="C444" s="173"/>
      <c r="D444" s="173"/>
      <c r="E444" s="173"/>
      <c r="F444" s="173"/>
      <c r="G444" s="173"/>
      <c r="H444" s="174"/>
      <c r="I444" s="174"/>
      <c r="J444" s="173"/>
      <c r="K444" s="173"/>
      <c r="L444" s="188"/>
    </row>
    <row r="445" spans="3:12" hidden="1" x14ac:dyDescent="0.25">
      <c r="C445" s="173"/>
      <c r="D445" s="173"/>
      <c r="E445" s="173"/>
      <c r="F445" s="174"/>
      <c r="G445" s="173"/>
      <c r="H445" s="174"/>
      <c r="I445" s="174"/>
      <c r="J445" s="173"/>
      <c r="K445" s="173"/>
      <c r="L445" s="188"/>
    </row>
    <row r="446" spans="3:12" hidden="1" x14ac:dyDescent="0.25">
      <c r="C446" s="173"/>
      <c r="D446" s="173"/>
      <c r="E446" s="173"/>
      <c r="F446" s="174"/>
      <c r="G446" s="173"/>
      <c r="H446" s="174"/>
      <c r="I446" s="174"/>
      <c r="J446" s="173"/>
      <c r="K446" s="173"/>
      <c r="L446" s="188"/>
    </row>
    <row r="447" spans="3:12" hidden="1" x14ac:dyDescent="0.25">
      <c r="C447" s="173"/>
      <c r="D447" s="173"/>
      <c r="E447" s="173"/>
      <c r="F447" s="174"/>
      <c r="G447" s="173"/>
      <c r="H447" s="174"/>
      <c r="I447" s="174"/>
      <c r="J447" s="173"/>
      <c r="K447" s="173"/>
      <c r="L447" s="188"/>
    </row>
    <row r="448" spans="3:12" hidden="1" x14ac:dyDescent="0.25">
      <c r="C448" s="173"/>
      <c r="D448" s="173"/>
      <c r="E448" s="173"/>
      <c r="F448" s="174"/>
      <c r="G448" s="173"/>
      <c r="H448" s="174"/>
      <c r="I448" s="174"/>
      <c r="J448" s="173"/>
      <c r="K448" s="173"/>
      <c r="L448" s="188"/>
    </row>
    <row r="449" spans="3:12" hidden="1" x14ac:dyDescent="0.25">
      <c r="C449" s="173"/>
      <c r="D449" s="173"/>
      <c r="E449" s="173"/>
      <c r="F449" s="174"/>
      <c r="G449" s="173"/>
      <c r="H449" s="174"/>
      <c r="I449" s="174"/>
      <c r="J449" s="173"/>
      <c r="K449" s="173"/>
      <c r="L449" s="188"/>
    </row>
    <row r="450" spans="3:12" hidden="1" x14ac:dyDescent="0.25">
      <c r="C450" s="173"/>
      <c r="D450" s="173"/>
      <c r="E450" s="173"/>
      <c r="F450" s="174"/>
      <c r="G450" s="173"/>
      <c r="H450" s="174"/>
      <c r="I450" s="174"/>
      <c r="J450" s="173"/>
      <c r="K450" s="173"/>
      <c r="L450" s="188"/>
    </row>
    <row r="451" spans="3:12" hidden="1" x14ac:dyDescent="0.25">
      <c r="C451" s="173"/>
      <c r="D451" s="173"/>
      <c r="E451" s="173"/>
      <c r="F451" s="173"/>
      <c r="G451" s="174"/>
      <c r="H451" s="174"/>
      <c r="I451" s="174"/>
      <c r="J451" s="173"/>
      <c r="K451" s="173"/>
      <c r="L451" s="188"/>
    </row>
    <row r="452" spans="3:12" hidden="1" x14ac:dyDescent="0.25">
      <c r="C452" s="173"/>
      <c r="D452" s="173"/>
      <c r="E452" s="173"/>
      <c r="F452" s="174"/>
      <c r="G452" s="174"/>
      <c r="H452" s="174"/>
      <c r="I452" s="174"/>
      <c r="J452" s="173"/>
      <c r="K452" s="173"/>
      <c r="L452" s="188"/>
    </row>
    <row r="453" spans="3:12" hidden="1" x14ac:dyDescent="0.25">
      <c r="C453" s="173"/>
      <c r="D453" s="173"/>
      <c r="E453" s="173"/>
      <c r="F453" s="174"/>
      <c r="G453" s="174"/>
      <c r="H453" s="174"/>
      <c r="I453" s="174"/>
      <c r="J453" s="173"/>
      <c r="K453" s="173"/>
      <c r="L453" s="188"/>
    </row>
    <row r="454" spans="3:12" hidden="1" x14ac:dyDescent="0.25">
      <c r="C454" s="173"/>
      <c r="D454" s="173"/>
      <c r="E454" s="173"/>
      <c r="F454" s="173"/>
      <c r="G454" s="174"/>
      <c r="H454" s="174"/>
      <c r="I454" s="174"/>
      <c r="J454" s="173"/>
      <c r="K454" s="173"/>
      <c r="L454" s="188"/>
    </row>
    <row r="455" spans="3:12" hidden="1" x14ac:dyDescent="0.25">
      <c r="C455" s="173"/>
      <c r="D455" s="173"/>
      <c r="E455" s="173"/>
      <c r="F455" s="173"/>
      <c r="G455" s="174"/>
      <c r="H455" s="174"/>
      <c r="I455" s="174"/>
      <c r="J455" s="173"/>
      <c r="K455" s="173"/>
      <c r="L455" s="188"/>
    </row>
    <row r="456" spans="3:12" hidden="1" x14ac:dyDescent="0.25">
      <c r="C456" s="173"/>
      <c r="D456" s="173"/>
      <c r="E456" s="173"/>
      <c r="F456" s="173"/>
      <c r="G456" s="174"/>
      <c r="H456" s="174"/>
      <c r="I456" s="174"/>
      <c r="J456" s="173"/>
      <c r="K456" s="173"/>
      <c r="L456" s="188"/>
    </row>
    <row r="457" spans="3:12" hidden="1" x14ac:dyDescent="0.25">
      <c r="C457" s="173"/>
      <c r="D457" s="173"/>
      <c r="E457" s="173"/>
      <c r="F457" s="173"/>
      <c r="G457" s="174"/>
      <c r="H457" s="174"/>
      <c r="I457" s="174"/>
      <c r="J457" s="173"/>
      <c r="K457" s="173"/>
      <c r="L457" s="188" t="s">
        <v>187</v>
      </c>
    </row>
    <row r="458" spans="3:12" hidden="1" x14ac:dyDescent="0.25">
      <c r="C458" s="173"/>
      <c r="D458" s="173"/>
      <c r="E458" s="173"/>
      <c r="F458" s="173"/>
      <c r="G458" s="174"/>
      <c r="H458" s="174"/>
      <c r="I458" s="174"/>
      <c r="J458" s="173"/>
      <c r="K458" s="173"/>
      <c r="L458" s="188"/>
    </row>
    <row r="459" spans="3:12" hidden="1" x14ac:dyDescent="0.25">
      <c r="C459" s="173"/>
      <c r="D459" s="173"/>
      <c r="E459" s="173"/>
      <c r="F459" s="173"/>
      <c r="G459" s="174"/>
      <c r="H459" s="174"/>
      <c r="I459" s="174"/>
      <c r="J459" s="173"/>
      <c r="K459" s="173"/>
      <c r="L459" s="188"/>
    </row>
    <row r="460" spans="3:12" hidden="1" x14ac:dyDescent="0.25">
      <c r="C460" s="173"/>
      <c r="D460" s="173"/>
      <c r="E460" s="173"/>
      <c r="F460" s="173"/>
      <c r="G460" s="173"/>
      <c r="H460" s="174"/>
      <c r="I460" s="174"/>
      <c r="J460" s="173"/>
      <c r="K460" s="173"/>
      <c r="L460" s="188"/>
    </row>
    <row r="461" spans="3:12" hidden="1" x14ac:dyDescent="0.25">
      <c r="C461" s="173"/>
      <c r="D461" s="173"/>
      <c r="E461" s="173"/>
      <c r="F461" s="173"/>
      <c r="G461" s="174"/>
      <c r="H461" s="174"/>
      <c r="I461" s="174"/>
      <c r="J461" s="173"/>
      <c r="K461" s="173"/>
      <c r="L461" s="188"/>
    </row>
    <row r="462" spans="3:12" hidden="1" x14ac:dyDescent="0.25">
      <c r="C462" s="173"/>
      <c r="D462" s="173"/>
      <c r="E462" s="173"/>
      <c r="F462" s="173"/>
      <c r="G462" s="174"/>
      <c r="H462" s="174"/>
      <c r="I462" s="174"/>
      <c r="J462" s="173"/>
      <c r="K462" s="173"/>
      <c r="L462" s="188"/>
    </row>
    <row r="463" spans="3:12" hidden="1" x14ac:dyDescent="0.25">
      <c r="C463" s="173"/>
      <c r="D463" s="173"/>
      <c r="E463" s="173"/>
      <c r="F463" s="173"/>
      <c r="G463" s="174"/>
      <c r="H463" s="174"/>
      <c r="I463" s="174"/>
      <c r="J463" s="173"/>
      <c r="K463" s="173"/>
      <c r="L463" s="188"/>
    </row>
    <row r="464" spans="3:12" hidden="1" x14ac:dyDescent="0.25">
      <c r="C464" s="173"/>
      <c r="D464" s="173"/>
      <c r="E464" s="173"/>
      <c r="F464" s="173"/>
      <c r="G464" s="173"/>
      <c r="H464" s="174"/>
      <c r="I464" s="174"/>
      <c r="J464" s="173"/>
      <c r="K464" s="173"/>
      <c r="L464" s="188"/>
    </row>
    <row r="465" spans="3:12" hidden="1" x14ac:dyDescent="0.25">
      <c r="C465" s="173"/>
      <c r="D465" s="173"/>
      <c r="E465" s="173"/>
      <c r="F465" s="173"/>
      <c r="G465" s="174"/>
      <c r="H465" s="174"/>
      <c r="I465" s="174"/>
      <c r="J465" s="173"/>
      <c r="K465" s="173"/>
      <c r="L465" s="188"/>
    </row>
    <row r="466" spans="3:12" hidden="1" x14ac:dyDescent="0.25">
      <c r="C466" s="173"/>
      <c r="D466" s="173"/>
      <c r="E466" s="173"/>
      <c r="F466" s="173"/>
      <c r="G466" s="173"/>
      <c r="H466" s="174"/>
      <c r="I466" s="174"/>
      <c r="J466" s="173"/>
      <c r="K466" s="173"/>
      <c r="L466" s="188"/>
    </row>
    <row r="467" spans="3:12" hidden="1" x14ac:dyDescent="0.25">
      <c r="C467" s="173"/>
      <c r="D467" s="173"/>
      <c r="E467" s="173"/>
      <c r="F467" s="173"/>
      <c r="G467" s="174"/>
      <c r="H467" s="174"/>
      <c r="I467" s="174"/>
      <c r="J467" s="173"/>
      <c r="K467" s="173"/>
      <c r="L467" s="188"/>
    </row>
    <row r="468" spans="3:12" hidden="1" x14ac:dyDescent="0.25">
      <c r="C468" s="173"/>
      <c r="D468" s="173"/>
      <c r="E468" s="173"/>
      <c r="F468" s="173"/>
      <c r="G468" s="173"/>
      <c r="H468" s="174"/>
      <c r="I468" s="174"/>
      <c r="J468" s="173"/>
      <c r="K468" s="173"/>
      <c r="L468" s="188"/>
    </row>
    <row r="469" spans="3:12" hidden="1" x14ac:dyDescent="0.25">
      <c r="C469" s="173"/>
      <c r="D469" s="173"/>
      <c r="E469" s="173"/>
      <c r="F469" s="173"/>
      <c r="G469" s="174"/>
      <c r="H469" s="174"/>
      <c r="I469" s="174"/>
      <c r="J469" s="173"/>
      <c r="K469" s="173"/>
      <c r="L469" s="188"/>
    </row>
    <row r="470" spans="3:12" hidden="1" x14ac:dyDescent="0.25">
      <c r="C470" s="173"/>
      <c r="D470" s="173"/>
      <c r="E470" s="173"/>
      <c r="F470" s="173"/>
      <c r="G470" s="174"/>
      <c r="H470" s="174"/>
      <c r="I470" s="174"/>
      <c r="J470" s="173"/>
      <c r="K470" s="173"/>
      <c r="L470" s="188"/>
    </row>
    <row r="471" spans="3:12" hidden="1" x14ac:dyDescent="0.25">
      <c r="C471" s="173"/>
      <c r="D471" s="173"/>
      <c r="E471" s="173"/>
      <c r="F471" s="173"/>
      <c r="G471" s="174"/>
      <c r="H471" s="174"/>
      <c r="I471" s="174"/>
      <c r="J471" s="173"/>
      <c r="K471" s="173"/>
      <c r="L471" s="188"/>
    </row>
    <row r="472" spans="3:12" hidden="1" x14ac:dyDescent="0.25">
      <c r="C472" s="173"/>
      <c r="D472" s="173"/>
      <c r="E472" s="173"/>
      <c r="F472" s="173"/>
      <c r="G472" s="174"/>
      <c r="H472" s="174"/>
      <c r="I472" s="174"/>
      <c r="J472" s="173"/>
      <c r="K472" s="173"/>
      <c r="L472" s="188"/>
    </row>
    <row r="473" spans="3:12" hidden="1" x14ac:dyDescent="0.25">
      <c r="C473" s="173"/>
      <c r="D473" s="173"/>
      <c r="E473" s="173"/>
      <c r="F473" s="173"/>
      <c r="G473" s="174"/>
      <c r="H473" s="174"/>
      <c r="I473" s="174"/>
      <c r="J473" s="173"/>
      <c r="K473" s="173"/>
      <c r="L473" s="188"/>
    </row>
    <row r="474" spans="3:12" hidden="1" x14ac:dyDescent="0.25">
      <c r="C474" s="173"/>
      <c r="D474" s="173"/>
      <c r="E474" s="173"/>
      <c r="F474" s="173"/>
      <c r="G474" s="174"/>
      <c r="H474" s="174"/>
      <c r="I474" s="174"/>
      <c r="J474" s="173"/>
      <c r="K474" s="173"/>
      <c r="L474" s="188"/>
    </row>
    <row r="475" spans="3:12" hidden="1" x14ac:dyDescent="0.25">
      <c r="C475" s="173"/>
      <c r="D475" s="173"/>
      <c r="E475" s="173"/>
      <c r="F475" s="173"/>
      <c r="G475" s="173"/>
      <c r="H475" s="174"/>
      <c r="I475" s="174"/>
      <c r="J475" s="173"/>
      <c r="K475" s="173"/>
      <c r="L475" s="188"/>
    </row>
    <row r="476" spans="3:12" hidden="1" x14ac:dyDescent="0.25">
      <c r="C476" s="173"/>
      <c r="D476" s="173"/>
      <c r="E476" s="173"/>
      <c r="F476" s="173"/>
      <c r="G476" s="173"/>
      <c r="H476" s="174"/>
      <c r="I476" s="174"/>
      <c r="J476" s="173"/>
      <c r="K476" s="173"/>
      <c r="L476" s="188"/>
    </row>
    <row r="477" spans="3:12" hidden="1" x14ac:dyDescent="0.25">
      <c r="C477" s="173"/>
      <c r="D477" s="173"/>
      <c r="E477" s="173"/>
      <c r="F477" s="173"/>
      <c r="G477" s="174"/>
      <c r="H477" s="174"/>
      <c r="I477" s="174"/>
      <c r="J477" s="173"/>
      <c r="K477" s="173"/>
      <c r="L477" s="188"/>
    </row>
    <row r="478" spans="3:12" hidden="1" x14ac:dyDescent="0.25">
      <c r="C478" s="173"/>
      <c r="D478" s="173"/>
      <c r="E478" s="173"/>
      <c r="F478" s="173"/>
      <c r="G478" s="174"/>
      <c r="H478" s="174"/>
      <c r="I478" s="174"/>
      <c r="J478" s="173"/>
      <c r="K478" s="173"/>
      <c r="L478" s="188"/>
    </row>
    <row r="479" spans="3:12" hidden="1" x14ac:dyDescent="0.25">
      <c r="C479" s="173"/>
      <c r="D479" s="173"/>
      <c r="E479" s="173"/>
      <c r="F479" s="173"/>
      <c r="G479" s="173"/>
      <c r="H479" s="174"/>
      <c r="I479" s="174"/>
      <c r="J479" s="173"/>
      <c r="K479" s="173"/>
      <c r="L479" s="188"/>
    </row>
    <row r="480" spans="3:12" hidden="1" x14ac:dyDescent="0.25">
      <c r="C480" s="173"/>
      <c r="D480" s="173"/>
      <c r="E480" s="173"/>
      <c r="F480" s="173"/>
      <c r="G480" s="174"/>
      <c r="H480" s="174"/>
      <c r="I480" s="174"/>
      <c r="J480" s="173"/>
      <c r="K480" s="173"/>
      <c r="L480" s="188"/>
    </row>
    <row r="481" spans="3:12" hidden="1" x14ac:dyDescent="0.25">
      <c r="C481" s="173"/>
      <c r="D481" s="173"/>
      <c r="E481" s="173"/>
      <c r="F481" s="173"/>
      <c r="G481" s="173"/>
      <c r="H481" s="174"/>
      <c r="I481" s="174"/>
      <c r="J481" s="173"/>
      <c r="K481" s="173"/>
      <c r="L481" s="188"/>
    </row>
    <row r="482" spans="3:12" hidden="1" x14ac:dyDescent="0.25">
      <c r="C482" s="173"/>
      <c r="D482" s="173"/>
      <c r="E482" s="173"/>
      <c r="F482" s="173"/>
      <c r="G482" s="174"/>
      <c r="H482" s="174"/>
      <c r="I482" s="174"/>
      <c r="J482" s="173"/>
      <c r="K482" s="173"/>
      <c r="L482" s="188"/>
    </row>
    <row r="483" spans="3:12" hidden="1" x14ac:dyDescent="0.25">
      <c r="C483" s="173"/>
      <c r="D483" s="173"/>
      <c r="E483" s="173"/>
      <c r="F483" s="173"/>
      <c r="G483" s="173"/>
      <c r="H483" s="174"/>
      <c r="I483" s="174"/>
      <c r="J483" s="173"/>
      <c r="K483" s="173"/>
      <c r="L483" s="188"/>
    </row>
    <row r="484" spans="3:12" hidden="1" x14ac:dyDescent="0.25">
      <c r="C484" s="173"/>
      <c r="D484" s="173"/>
      <c r="E484" s="173"/>
      <c r="F484" s="173"/>
      <c r="G484" s="174"/>
      <c r="H484" s="174"/>
      <c r="I484" s="174"/>
      <c r="J484" s="173"/>
      <c r="K484" s="173"/>
      <c r="L484" s="188"/>
    </row>
    <row r="485" spans="3:12" hidden="1" x14ac:dyDescent="0.25">
      <c r="C485" s="173"/>
      <c r="D485" s="173"/>
      <c r="E485" s="173"/>
      <c r="F485" s="173"/>
      <c r="G485" s="173"/>
      <c r="H485" s="174"/>
      <c r="I485" s="174"/>
      <c r="J485" s="173"/>
      <c r="K485" s="173"/>
      <c r="L485" s="188"/>
    </row>
    <row r="486" spans="3:12" hidden="1" x14ac:dyDescent="0.25">
      <c r="C486" s="173"/>
      <c r="D486" s="173"/>
      <c r="E486" s="173"/>
      <c r="F486" s="173"/>
      <c r="G486" s="174"/>
      <c r="H486" s="174"/>
      <c r="I486" s="174"/>
      <c r="J486" s="173"/>
      <c r="K486" s="173"/>
      <c r="L486" s="188"/>
    </row>
    <row r="487" spans="3:12" hidden="1" x14ac:dyDescent="0.25">
      <c r="C487" s="173"/>
      <c r="D487" s="173"/>
      <c r="E487" s="173"/>
      <c r="F487" s="173"/>
      <c r="G487" s="173"/>
      <c r="H487" s="174"/>
      <c r="I487" s="174"/>
      <c r="J487" s="173"/>
      <c r="K487" s="173"/>
      <c r="L487" s="188"/>
    </row>
    <row r="488" spans="3:12" hidden="1" x14ac:dyDescent="0.25">
      <c r="C488" s="173"/>
      <c r="D488" s="173"/>
      <c r="E488" s="173"/>
      <c r="F488" s="173"/>
      <c r="G488" s="173"/>
      <c r="H488" s="174"/>
      <c r="I488" s="174"/>
      <c r="J488" s="173"/>
      <c r="K488" s="173"/>
      <c r="L488" s="188"/>
    </row>
    <row r="489" spans="3:12" hidden="1" x14ac:dyDescent="0.25">
      <c r="C489" s="173"/>
      <c r="D489" s="173"/>
      <c r="E489" s="173"/>
      <c r="F489" s="173"/>
      <c r="G489" s="173"/>
      <c r="H489" s="174"/>
      <c r="I489" s="174"/>
      <c r="J489" s="173"/>
      <c r="K489" s="173"/>
      <c r="L489" s="188"/>
    </row>
    <row r="490" spans="3:12" hidden="1" x14ac:dyDescent="0.25">
      <c r="C490" s="173"/>
      <c r="D490" s="173"/>
      <c r="E490" s="173"/>
      <c r="F490" s="173"/>
      <c r="G490" s="174"/>
      <c r="H490" s="174"/>
      <c r="I490" s="174"/>
      <c r="J490" s="173"/>
      <c r="K490" s="173"/>
      <c r="L490" s="188"/>
    </row>
    <row r="491" spans="3:12" hidden="1" x14ac:dyDescent="0.25">
      <c r="C491" s="173"/>
      <c r="D491" s="173"/>
      <c r="E491" s="173"/>
      <c r="F491" s="173"/>
      <c r="G491" s="174"/>
      <c r="H491" s="174"/>
      <c r="I491" s="174"/>
      <c r="J491" s="173"/>
      <c r="K491" s="173"/>
      <c r="L491" s="188"/>
    </row>
    <row r="492" spans="3:12" hidden="1" x14ac:dyDescent="0.25">
      <c r="C492" s="173"/>
      <c r="D492" s="173"/>
      <c r="E492" s="173"/>
      <c r="F492" s="173"/>
      <c r="G492" s="174"/>
      <c r="H492" s="174"/>
      <c r="I492" s="174"/>
      <c r="J492" s="173"/>
      <c r="K492" s="173"/>
      <c r="L492" s="188"/>
    </row>
    <row r="493" spans="3:12" hidden="1" x14ac:dyDescent="0.25">
      <c r="C493" s="173"/>
      <c r="D493" s="173"/>
      <c r="E493" s="173"/>
      <c r="F493" s="173"/>
      <c r="G493" s="173"/>
      <c r="H493" s="174"/>
      <c r="I493" s="174"/>
      <c r="J493" s="173"/>
      <c r="K493" s="173"/>
      <c r="L493" s="188"/>
    </row>
    <row r="494" spans="3:12" hidden="1" x14ac:dyDescent="0.25">
      <c r="C494" s="173"/>
      <c r="D494" s="173"/>
      <c r="E494" s="173"/>
      <c r="F494" s="173"/>
      <c r="G494" s="173"/>
      <c r="H494" s="174"/>
      <c r="I494" s="174"/>
      <c r="J494" s="173"/>
      <c r="K494" s="173"/>
      <c r="L494" s="188"/>
    </row>
    <row r="495" spans="3:12" hidden="1" x14ac:dyDescent="0.25">
      <c r="C495" s="173"/>
      <c r="D495" s="173"/>
      <c r="E495" s="173"/>
      <c r="F495" s="174"/>
      <c r="G495" s="173"/>
      <c r="H495" s="174"/>
      <c r="I495" s="174"/>
      <c r="J495" s="173"/>
      <c r="K495" s="173"/>
      <c r="L495" s="188"/>
    </row>
    <row r="496" spans="3:12" hidden="1" x14ac:dyDescent="0.25">
      <c r="C496" s="173"/>
      <c r="D496" s="173"/>
      <c r="E496" s="173"/>
      <c r="F496" s="174"/>
      <c r="G496" s="173"/>
      <c r="H496" s="174"/>
      <c r="I496" s="174"/>
      <c r="J496" s="173"/>
      <c r="K496" s="173"/>
      <c r="L496" s="188"/>
    </row>
    <row r="497" spans="3:12" hidden="1" x14ac:dyDescent="0.25">
      <c r="C497" s="173"/>
      <c r="D497" s="173"/>
      <c r="E497" s="173"/>
      <c r="F497" s="174"/>
      <c r="G497" s="173"/>
      <c r="H497" s="174"/>
      <c r="I497" s="174"/>
      <c r="J497" s="173"/>
      <c r="K497" s="173"/>
      <c r="L497" s="188"/>
    </row>
    <row r="498" spans="3:12" hidden="1" x14ac:dyDescent="0.25">
      <c r="C498" s="173"/>
      <c r="D498" s="173"/>
      <c r="E498" s="173"/>
      <c r="F498" s="174"/>
      <c r="G498" s="173"/>
      <c r="H498" s="174"/>
      <c r="I498" s="174"/>
      <c r="J498" s="173"/>
      <c r="K498" s="173"/>
      <c r="L498" s="188"/>
    </row>
    <row r="499" spans="3:12" hidden="1" x14ac:dyDescent="0.25">
      <c r="C499" s="173"/>
      <c r="D499" s="173"/>
      <c r="E499" s="173"/>
      <c r="F499" s="174"/>
      <c r="G499" s="173"/>
      <c r="H499" s="174"/>
      <c r="I499" s="174"/>
      <c r="J499" s="173"/>
      <c r="K499" s="173"/>
      <c r="L499" s="188"/>
    </row>
    <row r="500" spans="3:12" hidden="1" x14ac:dyDescent="0.25">
      <c r="C500" s="173"/>
      <c r="D500" s="173"/>
      <c r="E500" s="173"/>
      <c r="F500" s="173"/>
      <c r="G500" s="173"/>
      <c r="H500" s="174"/>
      <c r="I500" s="174"/>
      <c r="J500" s="173"/>
      <c r="K500" s="173"/>
      <c r="L500" s="188"/>
    </row>
    <row r="501" spans="3:12" hidden="1" x14ac:dyDescent="0.25">
      <c r="C501" s="173"/>
      <c r="D501" s="173"/>
      <c r="E501" s="173"/>
      <c r="F501" s="174"/>
      <c r="G501" s="173"/>
      <c r="H501" s="174"/>
      <c r="I501" s="174"/>
      <c r="J501" s="173"/>
      <c r="K501" s="173"/>
      <c r="L501" s="188"/>
    </row>
    <row r="502" spans="3:12" hidden="1" x14ac:dyDescent="0.25">
      <c r="C502" s="173"/>
      <c r="D502" s="173"/>
      <c r="E502" s="173"/>
      <c r="F502" s="173"/>
      <c r="G502" s="173"/>
      <c r="H502" s="174"/>
      <c r="I502" s="174"/>
      <c r="J502" s="173"/>
      <c r="K502" s="173"/>
      <c r="L502" s="188"/>
    </row>
    <row r="503" spans="3:12" hidden="1" x14ac:dyDescent="0.25">
      <c r="C503" s="173"/>
      <c r="D503" s="173"/>
      <c r="E503" s="173"/>
      <c r="F503" s="174"/>
      <c r="G503" s="173"/>
      <c r="H503" s="174"/>
      <c r="I503" s="174"/>
      <c r="J503" s="173"/>
      <c r="K503" s="173"/>
      <c r="L503" s="188"/>
    </row>
    <row r="504" spans="3:12" hidden="1" x14ac:dyDescent="0.25">
      <c r="C504" s="173"/>
      <c r="D504" s="173"/>
      <c r="E504" s="173"/>
      <c r="F504" s="174"/>
      <c r="G504" s="173"/>
      <c r="H504" s="174"/>
      <c r="I504" s="174"/>
      <c r="J504" s="173"/>
      <c r="K504" s="173"/>
      <c r="L504" s="188"/>
    </row>
    <row r="505" spans="3:12" hidden="1" x14ac:dyDescent="0.25">
      <c r="C505" s="173"/>
      <c r="D505" s="173"/>
      <c r="E505" s="173"/>
      <c r="F505" s="174"/>
      <c r="G505" s="173"/>
      <c r="H505" s="174"/>
      <c r="I505" s="174"/>
      <c r="J505" s="173"/>
      <c r="K505" s="173"/>
      <c r="L505" s="188"/>
    </row>
    <row r="506" spans="3:12" hidden="1" x14ac:dyDescent="0.25">
      <c r="C506" s="173"/>
      <c r="D506" s="173"/>
      <c r="E506" s="173"/>
      <c r="F506" s="174"/>
      <c r="G506" s="173"/>
      <c r="H506" s="174"/>
      <c r="I506" s="174"/>
      <c r="J506" s="173"/>
      <c r="K506" s="173"/>
      <c r="L506" s="188"/>
    </row>
    <row r="507" spans="3:12" hidden="1" x14ac:dyDescent="0.25">
      <c r="C507" s="173"/>
      <c r="D507" s="173"/>
      <c r="E507" s="173"/>
      <c r="F507" s="174"/>
      <c r="G507" s="173"/>
      <c r="H507" s="174"/>
      <c r="I507" s="174"/>
      <c r="J507" s="173"/>
      <c r="K507" s="173"/>
      <c r="L507" s="188"/>
    </row>
    <row r="508" spans="3:12" hidden="1" x14ac:dyDescent="0.25">
      <c r="C508" s="173"/>
      <c r="D508" s="173"/>
      <c r="E508" s="173"/>
      <c r="F508" s="173"/>
      <c r="G508" s="173"/>
      <c r="H508" s="174"/>
      <c r="I508" s="174"/>
      <c r="J508" s="173"/>
      <c r="K508" s="173"/>
      <c r="L508" s="188"/>
    </row>
    <row r="509" spans="3:12" hidden="1" x14ac:dyDescent="0.25">
      <c r="C509" s="173"/>
      <c r="D509" s="173"/>
      <c r="E509" s="173"/>
      <c r="F509" s="174"/>
      <c r="G509" s="173"/>
      <c r="H509" s="174"/>
      <c r="I509" s="174"/>
      <c r="J509" s="173"/>
      <c r="K509" s="173"/>
      <c r="L509" s="188"/>
    </row>
    <row r="510" spans="3:12" hidden="1" x14ac:dyDescent="0.25">
      <c r="C510" s="173"/>
      <c r="D510" s="173"/>
      <c r="E510" s="173"/>
      <c r="F510" s="174"/>
      <c r="G510" s="173"/>
      <c r="H510" s="174"/>
      <c r="I510" s="174"/>
      <c r="J510" s="173"/>
      <c r="K510" s="173"/>
      <c r="L510" s="188"/>
    </row>
    <row r="511" spans="3:12" hidden="1" x14ac:dyDescent="0.25">
      <c r="C511" s="173"/>
      <c r="D511" s="173"/>
      <c r="E511" s="173"/>
      <c r="F511" s="173"/>
      <c r="G511" s="173"/>
      <c r="H511" s="174"/>
      <c r="I511" s="174"/>
      <c r="J511" s="173"/>
      <c r="K511" s="173"/>
      <c r="L511" s="188"/>
    </row>
    <row r="512" spans="3:12" hidden="1" x14ac:dyDescent="0.25">
      <c r="C512" s="173"/>
      <c r="D512" s="173"/>
      <c r="E512" s="173"/>
      <c r="F512" s="173"/>
      <c r="G512" s="173"/>
      <c r="H512" s="174"/>
      <c r="I512" s="174"/>
      <c r="J512" s="173"/>
      <c r="K512" s="173"/>
      <c r="L512" s="188"/>
    </row>
    <row r="513" spans="3:12" hidden="1" x14ac:dyDescent="0.25">
      <c r="C513" s="173"/>
      <c r="D513" s="173"/>
      <c r="E513" s="173"/>
      <c r="F513" s="174"/>
      <c r="G513" s="173"/>
      <c r="H513" s="174"/>
      <c r="I513" s="174"/>
      <c r="J513" s="173"/>
      <c r="K513" s="173"/>
      <c r="L513" s="188"/>
    </row>
    <row r="514" spans="3:12" hidden="1" x14ac:dyDescent="0.25">
      <c r="C514" s="173"/>
      <c r="D514" s="173"/>
      <c r="E514" s="173"/>
      <c r="F514" s="173"/>
      <c r="G514" s="173"/>
      <c r="H514" s="174"/>
      <c r="I514" s="174"/>
      <c r="J514" s="173"/>
      <c r="K514" s="173"/>
      <c r="L514" s="188"/>
    </row>
    <row r="515" spans="3:12" hidden="1" x14ac:dyDescent="0.25">
      <c r="C515" s="173"/>
      <c r="D515" s="173"/>
      <c r="E515" s="173"/>
      <c r="F515" s="173"/>
      <c r="G515" s="173"/>
      <c r="H515" s="174"/>
      <c r="I515" s="174"/>
      <c r="J515" s="173"/>
      <c r="K515" s="173"/>
      <c r="L515" s="188"/>
    </row>
    <row r="516" spans="3:12" hidden="1" x14ac:dyDescent="0.25">
      <c r="C516" s="173"/>
      <c r="D516" s="173"/>
      <c r="E516" s="173"/>
      <c r="F516" s="174"/>
      <c r="G516" s="173"/>
      <c r="H516" s="174"/>
      <c r="I516" s="174"/>
      <c r="J516" s="173"/>
      <c r="K516" s="173"/>
      <c r="L516" s="188"/>
    </row>
    <row r="517" spans="3:12" hidden="1" x14ac:dyDescent="0.25">
      <c r="C517" s="173"/>
      <c r="D517" s="173"/>
      <c r="E517" s="173"/>
      <c r="F517" s="173"/>
      <c r="G517" s="173"/>
      <c r="H517" s="174"/>
      <c r="I517" s="174"/>
      <c r="J517" s="173"/>
      <c r="K517" s="173"/>
      <c r="L517" s="188"/>
    </row>
    <row r="518" spans="3:12" hidden="1" x14ac:dyDescent="0.25">
      <c r="C518" s="173"/>
      <c r="D518" s="173"/>
      <c r="E518" s="173"/>
      <c r="F518" s="173"/>
      <c r="G518" s="173"/>
      <c r="H518" s="174"/>
      <c r="I518" s="174"/>
      <c r="J518" s="173"/>
      <c r="K518" s="173"/>
      <c r="L518" s="188"/>
    </row>
    <row r="519" spans="3:12" hidden="1" x14ac:dyDescent="0.25">
      <c r="C519" s="173"/>
      <c r="D519" s="173"/>
      <c r="E519" s="173"/>
      <c r="F519" s="173"/>
      <c r="G519" s="173"/>
      <c r="H519" s="174"/>
      <c r="I519" s="174"/>
      <c r="J519" s="173"/>
      <c r="K519" s="173"/>
      <c r="L519" s="188"/>
    </row>
    <row r="520" spans="3:12" hidden="1" x14ac:dyDescent="0.25">
      <c r="C520" s="173"/>
      <c r="D520" s="173"/>
      <c r="E520" s="173"/>
      <c r="F520" s="173"/>
      <c r="G520" s="174"/>
      <c r="H520" s="174"/>
      <c r="I520" s="174"/>
      <c r="J520" s="173"/>
      <c r="K520" s="173"/>
      <c r="L520" s="188"/>
    </row>
    <row r="521" spans="3:12" hidden="1" x14ac:dyDescent="0.25">
      <c r="C521" s="173"/>
      <c r="D521" s="173"/>
      <c r="E521" s="173"/>
      <c r="F521" s="174"/>
      <c r="G521" s="174"/>
      <c r="H521" s="174"/>
      <c r="I521" s="174"/>
      <c r="J521" s="173"/>
      <c r="K521" s="173"/>
      <c r="L521" s="188"/>
    </row>
    <row r="522" spans="3:12" hidden="1" x14ac:dyDescent="0.25">
      <c r="C522" s="173"/>
      <c r="D522" s="173"/>
      <c r="E522" s="173"/>
      <c r="F522" s="174"/>
      <c r="G522" s="174"/>
      <c r="H522" s="174"/>
      <c r="I522" s="174"/>
      <c r="J522" s="173"/>
      <c r="K522" s="173"/>
      <c r="L522" s="188"/>
    </row>
    <row r="523" spans="3:12" hidden="1" x14ac:dyDescent="0.25">
      <c r="C523" s="173"/>
      <c r="D523" s="173"/>
      <c r="E523" s="173"/>
      <c r="F523" s="173"/>
      <c r="G523" s="174"/>
      <c r="H523" s="174"/>
      <c r="I523" s="174"/>
      <c r="J523" s="173"/>
      <c r="K523" s="173"/>
      <c r="L523" s="188"/>
    </row>
    <row r="524" spans="3:12" hidden="1" x14ac:dyDescent="0.25">
      <c r="C524" s="173"/>
      <c r="D524" s="173"/>
      <c r="E524" s="173"/>
      <c r="F524" s="173"/>
      <c r="G524" s="174"/>
      <c r="H524" s="174"/>
      <c r="I524" s="174"/>
      <c r="J524" s="173"/>
      <c r="K524" s="173"/>
      <c r="L524" s="188"/>
    </row>
    <row r="525" spans="3:12" hidden="1" x14ac:dyDescent="0.25">
      <c r="C525" s="173"/>
      <c r="D525" s="173"/>
      <c r="E525" s="173"/>
      <c r="F525" s="174"/>
      <c r="G525" s="174"/>
      <c r="H525" s="174"/>
      <c r="I525" s="174"/>
      <c r="J525" s="173"/>
      <c r="K525" s="173"/>
      <c r="L525" s="188"/>
    </row>
    <row r="526" spans="3:12" hidden="1" x14ac:dyDescent="0.25">
      <c r="C526" s="173"/>
      <c r="D526" s="173"/>
      <c r="E526" s="173"/>
      <c r="F526" s="174"/>
      <c r="G526" s="174"/>
      <c r="H526" s="174"/>
      <c r="I526" s="174"/>
      <c r="J526" s="173"/>
      <c r="K526" s="173"/>
      <c r="L526" s="188"/>
    </row>
    <row r="527" spans="3:12" hidden="1" x14ac:dyDescent="0.25">
      <c r="C527" s="173"/>
      <c r="D527" s="173"/>
      <c r="E527" s="173"/>
      <c r="F527" s="174"/>
      <c r="G527" s="173"/>
      <c r="H527" s="174"/>
      <c r="I527" s="174"/>
      <c r="J527" s="173"/>
      <c r="K527" s="173"/>
      <c r="L527" s="188"/>
    </row>
    <row r="528" spans="3:12" hidden="1" x14ac:dyDescent="0.25">
      <c r="C528" s="173"/>
      <c r="D528" s="173"/>
      <c r="E528" s="173"/>
      <c r="F528" s="174"/>
      <c r="G528" s="173"/>
      <c r="H528" s="174"/>
      <c r="I528" s="174"/>
      <c r="J528" s="173"/>
      <c r="K528" s="173"/>
      <c r="L528" s="188"/>
    </row>
    <row r="529" spans="3:12" hidden="1" x14ac:dyDescent="0.25">
      <c r="C529" s="173"/>
      <c r="D529" s="173"/>
      <c r="E529" s="173"/>
      <c r="F529" s="174"/>
      <c r="G529" s="174"/>
      <c r="H529" s="174"/>
      <c r="I529" s="174"/>
      <c r="J529" s="173"/>
      <c r="K529" s="173"/>
      <c r="L529" s="188" t="s">
        <v>187</v>
      </c>
    </row>
    <row r="530" spans="3:12" hidden="1" x14ac:dyDescent="0.25">
      <c r="C530" s="173"/>
      <c r="D530" s="173"/>
      <c r="E530" s="173"/>
      <c r="F530" s="174"/>
      <c r="G530" s="174"/>
      <c r="H530" s="174"/>
      <c r="I530" s="174"/>
      <c r="J530" s="173"/>
      <c r="K530" s="173"/>
      <c r="L530" s="188"/>
    </row>
    <row r="531" spans="3:12" hidden="1" x14ac:dyDescent="0.25">
      <c r="C531" s="173"/>
      <c r="D531" s="173"/>
      <c r="E531" s="173"/>
      <c r="F531" s="174"/>
      <c r="G531" s="174"/>
      <c r="H531" s="174"/>
      <c r="I531" s="174"/>
      <c r="J531" s="173"/>
      <c r="K531" s="173"/>
      <c r="L531" s="188"/>
    </row>
    <row r="532" spans="3:12" hidden="1" x14ac:dyDescent="0.25">
      <c r="C532" s="173"/>
      <c r="D532" s="173"/>
      <c r="E532" s="173"/>
      <c r="F532" s="174"/>
      <c r="G532" s="174"/>
      <c r="H532" s="174"/>
      <c r="I532" s="174"/>
      <c r="J532" s="173"/>
      <c r="K532" s="173"/>
      <c r="L532" s="188"/>
    </row>
    <row r="533" spans="3:12" hidden="1" x14ac:dyDescent="0.25">
      <c r="C533" s="173"/>
      <c r="D533" s="173"/>
      <c r="E533" s="173"/>
      <c r="F533" s="174"/>
      <c r="G533" s="174"/>
      <c r="H533" s="174"/>
      <c r="I533" s="174"/>
      <c r="J533" s="173"/>
      <c r="K533" s="173"/>
      <c r="L533" s="188"/>
    </row>
    <row r="534" spans="3:12" hidden="1" x14ac:dyDescent="0.25">
      <c r="C534" s="173"/>
      <c r="D534" s="173"/>
      <c r="E534" s="173"/>
      <c r="F534" s="174"/>
      <c r="G534" s="174"/>
      <c r="H534" s="174"/>
      <c r="I534" s="174"/>
      <c r="J534" s="173"/>
      <c r="K534" s="173"/>
      <c r="L534" s="188"/>
    </row>
    <row r="535" spans="3:12" hidden="1" x14ac:dyDescent="0.25">
      <c r="C535" s="173"/>
      <c r="D535" s="173"/>
      <c r="E535" s="173"/>
      <c r="F535" s="174"/>
      <c r="G535" s="173"/>
      <c r="H535" s="174"/>
      <c r="I535" s="174"/>
      <c r="J535" s="173"/>
      <c r="K535" s="173"/>
      <c r="L535" s="188"/>
    </row>
    <row r="536" spans="3:12" hidden="1" x14ac:dyDescent="0.25">
      <c r="C536" s="173"/>
      <c r="D536" s="173"/>
      <c r="E536" s="173"/>
      <c r="F536" s="174"/>
      <c r="G536" s="174"/>
      <c r="H536" s="174"/>
      <c r="I536" s="174"/>
      <c r="J536" s="173"/>
      <c r="K536" s="173"/>
      <c r="L536" s="188"/>
    </row>
    <row r="537" spans="3:12" hidden="1" x14ac:dyDescent="0.25">
      <c r="C537" s="173"/>
      <c r="D537" s="173"/>
      <c r="E537" s="173"/>
      <c r="F537" s="174"/>
      <c r="G537" s="173"/>
      <c r="H537" s="174"/>
      <c r="I537" s="174"/>
      <c r="J537" s="173"/>
      <c r="K537" s="173"/>
      <c r="L537" s="188"/>
    </row>
    <row r="538" spans="3:12" hidden="1" x14ac:dyDescent="0.25">
      <c r="C538" s="173"/>
      <c r="D538" s="173"/>
      <c r="E538" s="173"/>
      <c r="F538" s="174"/>
      <c r="G538" s="173"/>
      <c r="H538" s="174"/>
      <c r="I538" s="174"/>
      <c r="J538" s="173"/>
      <c r="K538" s="173"/>
      <c r="L538" s="188"/>
    </row>
    <row r="539" spans="3:12" hidden="1" x14ac:dyDescent="0.25">
      <c r="C539" s="175"/>
      <c r="D539" s="175"/>
      <c r="E539" s="175"/>
      <c r="F539" s="176"/>
      <c r="G539" s="175"/>
      <c r="H539" s="176"/>
      <c r="I539" s="176"/>
      <c r="J539" s="175"/>
      <c r="K539" s="175"/>
      <c r="L539" s="188"/>
    </row>
    <row r="540" spans="3:12" hidden="1" x14ac:dyDescent="0.25">
      <c r="C540" s="173"/>
      <c r="D540" s="173"/>
      <c r="E540" s="173"/>
      <c r="F540" s="174"/>
      <c r="G540" s="173"/>
      <c r="H540" s="174"/>
      <c r="I540" s="174"/>
      <c r="J540" s="173"/>
      <c r="K540" s="173"/>
      <c r="L540" s="188"/>
    </row>
    <row r="541" spans="3:12" hidden="1" x14ac:dyDescent="0.25">
      <c r="C541" s="173"/>
      <c r="D541" s="173"/>
      <c r="E541" s="173"/>
      <c r="F541" s="174"/>
      <c r="G541" s="174"/>
      <c r="H541" s="174"/>
      <c r="I541" s="174"/>
      <c r="J541" s="173"/>
      <c r="K541" s="173"/>
      <c r="L541" s="188"/>
    </row>
    <row r="542" spans="3:12" hidden="1" x14ac:dyDescent="0.25">
      <c r="C542" s="173"/>
      <c r="D542" s="173"/>
      <c r="E542" s="173"/>
      <c r="F542" s="174"/>
      <c r="G542" s="173"/>
      <c r="H542" s="174"/>
      <c r="I542" s="174"/>
      <c r="J542" s="173"/>
      <c r="K542" s="173"/>
      <c r="L542" s="188"/>
    </row>
    <row r="543" spans="3:12" hidden="1" x14ac:dyDescent="0.25">
      <c r="C543" s="173"/>
      <c r="D543" s="173"/>
      <c r="E543" s="173"/>
      <c r="F543" s="173"/>
      <c r="G543" s="174"/>
      <c r="H543" s="174"/>
      <c r="I543" s="174"/>
      <c r="J543" s="173"/>
      <c r="K543" s="173"/>
      <c r="L543" s="188"/>
    </row>
    <row r="544" spans="3:12" hidden="1" x14ac:dyDescent="0.25">
      <c r="C544" s="173"/>
      <c r="D544" s="173"/>
      <c r="E544" s="173"/>
      <c r="F544" s="173"/>
      <c r="G544" s="174"/>
      <c r="H544" s="174"/>
      <c r="I544" s="174"/>
      <c r="J544" s="173"/>
      <c r="K544" s="173"/>
      <c r="L544" s="188"/>
    </row>
    <row r="545" spans="3:12" hidden="1" x14ac:dyDescent="0.25">
      <c r="C545" s="173"/>
      <c r="D545" s="173"/>
      <c r="E545" s="173"/>
      <c r="F545" s="173"/>
      <c r="G545" s="173"/>
      <c r="H545" s="174"/>
      <c r="I545" s="174"/>
      <c r="J545" s="173"/>
      <c r="K545" s="173"/>
      <c r="L545" s="188"/>
    </row>
    <row r="546" spans="3:12" hidden="1" x14ac:dyDescent="0.25">
      <c r="C546" s="173"/>
      <c r="D546" s="173"/>
      <c r="E546" s="173"/>
      <c r="F546" s="173"/>
      <c r="G546" s="174"/>
      <c r="H546" s="174"/>
      <c r="I546" s="174"/>
      <c r="J546" s="173"/>
      <c r="K546" s="173"/>
      <c r="L546" s="188"/>
    </row>
    <row r="547" spans="3:12" hidden="1" x14ac:dyDescent="0.25">
      <c r="C547" s="173"/>
      <c r="D547" s="173"/>
      <c r="E547" s="173"/>
      <c r="F547" s="173"/>
      <c r="G547" s="173"/>
      <c r="H547" s="174"/>
      <c r="I547" s="174"/>
      <c r="J547" s="173"/>
      <c r="K547" s="173"/>
      <c r="L547" s="188"/>
    </row>
    <row r="548" spans="3:12" hidden="1" x14ac:dyDescent="0.25">
      <c r="C548" s="173"/>
      <c r="D548" s="173"/>
      <c r="E548" s="173"/>
      <c r="F548" s="173"/>
      <c r="G548" s="173"/>
      <c r="H548" s="174"/>
      <c r="I548" s="174"/>
      <c r="J548" s="173"/>
      <c r="K548" s="173"/>
      <c r="L548" s="188"/>
    </row>
    <row r="549" spans="3:12" hidden="1" x14ac:dyDescent="0.25">
      <c r="C549" s="173"/>
      <c r="D549" s="173"/>
      <c r="E549" s="173"/>
      <c r="F549" s="173"/>
      <c r="G549" s="174"/>
      <c r="H549" s="174"/>
      <c r="I549" s="174"/>
      <c r="J549" s="173"/>
      <c r="K549" s="173"/>
      <c r="L549" s="188"/>
    </row>
    <row r="550" spans="3:12" hidden="1" x14ac:dyDescent="0.25">
      <c r="C550" s="173"/>
      <c r="D550" s="173"/>
      <c r="E550" s="173"/>
      <c r="F550" s="173"/>
      <c r="G550" s="174"/>
      <c r="H550" s="174"/>
      <c r="I550" s="174"/>
      <c r="J550" s="173"/>
      <c r="K550" s="173"/>
      <c r="L550" s="188"/>
    </row>
    <row r="551" spans="3:12" hidden="1" x14ac:dyDescent="0.25">
      <c r="C551" s="173"/>
      <c r="D551" s="173"/>
      <c r="E551" s="173"/>
      <c r="F551" s="173"/>
      <c r="G551" s="173"/>
      <c r="H551" s="174"/>
      <c r="I551" s="174"/>
      <c r="J551" s="173"/>
      <c r="K551" s="173"/>
      <c r="L551" s="188"/>
    </row>
    <row r="552" spans="3:12" hidden="1" x14ac:dyDescent="0.25">
      <c r="C552" s="173"/>
      <c r="D552" s="173"/>
      <c r="E552" s="173"/>
      <c r="F552" s="173"/>
      <c r="G552" s="173"/>
      <c r="H552" s="174"/>
      <c r="I552" s="174"/>
      <c r="J552" s="173"/>
      <c r="K552" s="173"/>
      <c r="L552" s="188"/>
    </row>
    <row r="553" spans="3:12" hidden="1" x14ac:dyDescent="0.25">
      <c r="C553" s="173"/>
      <c r="D553" s="173"/>
      <c r="E553" s="173"/>
      <c r="F553" s="173"/>
      <c r="G553" s="173"/>
      <c r="H553" s="174"/>
      <c r="I553" s="174"/>
      <c r="J553" s="173"/>
      <c r="K553" s="173"/>
      <c r="L553" s="188"/>
    </row>
    <row r="554" spans="3:12" hidden="1" x14ac:dyDescent="0.25">
      <c r="C554" s="173"/>
      <c r="D554" s="173"/>
      <c r="E554" s="173"/>
      <c r="F554" s="173"/>
      <c r="G554" s="173"/>
      <c r="H554" s="174"/>
      <c r="I554" s="174"/>
      <c r="J554" s="173"/>
      <c r="K554" s="173"/>
      <c r="L554" s="188"/>
    </row>
    <row r="555" spans="3:12" hidden="1" x14ac:dyDescent="0.25">
      <c r="C555" s="173"/>
      <c r="D555" s="173"/>
      <c r="E555" s="173"/>
      <c r="F555" s="173"/>
      <c r="G555" s="174"/>
      <c r="H555" s="174"/>
      <c r="I555" s="174"/>
      <c r="J555" s="173"/>
      <c r="K555" s="173"/>
      <c r="L555" s="188"/>
    </row>
    <row r="556" spans="3:12" hidden="1" x14ac:dyDescent="0.25">
      <c r="C556" s="173"/>
      <c r="D556" s="173"/>
      <c r="E556" s="173"/>
      <c r="F556" s="174"/>
      <c r="G556" s="173"/>
      <c r="H556" s="174"/>
      <c r="I556" s="174"/>
      <c r="J556" s="173"/>
      <c r="K556" s="173"/>
      <c r="L556" s="188"/>
    </row>
    <row r="557" spans="3:12" hidden="1" x14ac:dyDescent="0.25">
      <c r="C557" s="173"/>
      <c r="D557" s="173"/>
      <c r="E557" s="173"/>
      <c r="F557" s="173"/>
      <c r="G557" s="174"/>
      <c r="H557" s="174"/>
      <c r="I557" s="174"/>
      <c r="J557" s="173"/>
      <c r="K557" s="173"/>
      <c r="L557" s="188"/>
    </row>
    <row r="558" spans="3:12" hidden="1" x14ac:dyDescent="0.25">
      <c r="C558" s="173"/>
      <c r="D558" s="173"/>
      <c r="E558" s="173"/>
      <c r="F558" s="174"/>
      <c r="G558" s="174"/>
      <c r="H558" s="174"/>
      <c r="I558" s="174"/>
      <c r="J558" s="173"/>
      <c r="K558" s="173"/>
      <c r="L558" s="188"/>
    </row>
    <row r="559" spans="3:12" hidden="1" x14ac:dyDescent="0.25">
      <c r="C559" s="173"/>
      <c r="D559" s="173"/>
      <c r="E559" s="173"/>
      <c r="F559" s="173"/>
      <c r="G559" s="173"/>
      <c r="H559" s="174"/>
      <c r="I559" s="174"/>
      <c r="J559" s="173"/>
      <c r="K559" s="173"/>
      <c r="L559" s="188"/>
    </row>
    <row r="560" spans="3:12" hidden="1" x14ac:dyDescent="0.25">
      <c r="C560" s="173"/>
      <c r="D560" s="173"/>
      <c r="E560" s="173"/>
      <c r="F560" s="174"/>
      <c r="G560" s="173"/>
      <c r="H560" s="174"/>
      <c r="I560" s="174"/>
      <c r="J560" s="173"/>
      <c r="K560" s="173"/>
      <c r="L560" s="188"/>
    </row>
    <row r="561" spans="3:12" hidden="1" x14ac:dyDescent="0.25">
      <c r="C561" s="173"/>
      <c r="D561" s="173"/>
      <c r="E561" s="173"/>
      <c r="F561" s="174"/>
      <c r="G561" s="173"/>
      <c r="H561" s="174"/>
      <c r="I561" s="174"/>
      <c r="J561" s="173"/>
      <c r="K561" s="173"/>
      <c r="L561" s="188"/>
    </row>
    <row r="562" spans="3:12" hidden="1" x14ac:dyDescent="0.25">
      <c r="C562" s="173"/>
      <c r="D562" s="173"/>
      <c r="E562" s="173"/>
      <c r="F562" s="173"/>
      <c r="G562" s="174"/>
      <c r="H562" s="174"/>
      <c r="I562" s="174"/>
      <c r="J562" s="173"/>
      <c r="K562" s="173"/>
      <c r="L562" s="188"/>
    </row>
    <row r="563" spans="3:12" hidden="1" x14ac:dyDescent="0.25">
      <c r="C563" s="173"/>
      <c r="D563" s="173"/>
      <c r="E563" s="173"/>
      <c r="F563" s="173"/>
      <c r="G563" s="173"/>
      <c r="H563" s="174"/>
      <c r="I563" s="174"/>
      <c r="J563" s="173"/>
      <c r="K563" s="173"/>
      <c r="L563" s="188"/>
    </row>
    <row r="564" spans="3:12" hidden="1" x14ac:dyDescent="0.25">
      <c r="C564" s="173"/>
      <c r="D564" s="173"/>
      <c r="E564" s="173"/>
      <c r="F564" s="173"/>
      <c r="G564" s="174"/>
      <c r="H564" s="174"/>
      <c r="I564" s="174"/>
      <c r="J564" s="173"/>
      <c r="K564" s="173"/>
      <c r="L564" s="188"/>
    </row>
    <row r="565" spans="3:12" hidden="1" x14ac:dyDescent="0.25">
      <c r="C565" s="173"/>
      <c r="D565" s="173"/>
      <c r="E565" s="173"/>
      <c r="F565" s="173"/>
      <c r="G565" s="174"/>
      <c r="H565" s="174"/>
      <c r="I565" s="174"/>
      <c r="J565" s="173"/>
      <c r="K565" s="173"/>
      <c r="L565" s="188" t="s">
        <v>187</v>
      </c>
    </row>
    <row r="566" spans="3:12" hidden="1" x14ac:dyDescent="0.25">
      <c r="C566" s="173"/>
      <c r="D566" s="173"/>
      <c r="E566" s="173"/>
      <c r="F566" s="173"/>
      <c r="G566" s="174"/>
      <c r="H566" s="174"/>
      <c r="I566" s="174"/>
      <c r="J566" s="173"/>
      <c r="K566" s="173"/>
      <c r="L566" s="188"/>
    </row>
    <row r="567" spans="3:12" hidden="1" x14ac:dyDescent="0.25">
      <c r="C567" s="173"/>
      <c r="D567" s="173"/>
      <c r="E567" s="173"/>
      <c r="F567" s="173"/>
      <c r="G567" s="174"/>
      <c r="H567" s="174"/>
      <c r="I567" s="174"/>
      <c r="J567" s="173"/>
      <c r="K567" s="173"/>
      <c r="L567" s="188"/>
    </row>
    <row r="568" spans="3:12" hidden="1" x14ac:dyDescent="0.25">
      <c r="C568" s="173"/>
      <c r="D568" s="173"/>
      <c r="E568" s="173"/>
      <c r="F568" s="173"/>
      <c r="G568" s="173"/>
      <c r="H568" s="174"/>
      <c r="I568" s="174"/>
      <c r="J568" s="173"/>
      <c r="K568" s="173"/>
      <c r="L568" s="188"/>
    </row>
    <row r="569" spans="3:12" hidden="1" x14ac:dyDescent="0.25">
      <c r="C569" s="173"/>
      <c r="D569" s="173"/>
      <c r="E569" s="173"/>
      <c r="F569" s="173"/>
      <c r="G569" s="174"/>
      <c r="H569" s="174"/>
      <c r="I569" s="174"/>
      <c r="J569" s="173"/>
      <c r="K569" s="173"/>
      <c r="L569" s="188"/>
    </row>
    <row r="570" spans="3:12" hidden="1" x14ac:dyDescent="0.25">
      <c r="C570" s="173"/>
      <c r="D570" s="173"/>
      <c r="E570" s="173"/>
      <c r="F570" s="174"/>
      <c r="G570" s="173"/>
      <c r="H570" s="174"/>
      <c r="I570" s="174"/>
      <c r="J570" s="173"/>
      <c r="K570" s="173"/>
      <c r="L570" s="188"/>
    </row>
    <row r="571" spans="3:12" hidden="1" x14ac:dyDescent="0.25">
      <c r="C571" s="173"/>
      <c r="D571" s="173"/>
      <c r="E571" s="173"/>
      <c r="F571" s="174"/>
      <c r="G571" s="173"/>
      <c r="H571" s="174"/>
      <c r="I571" s="174"/>
      <c r="J571" s="173"/>
      <c r="K571" s="173"/>
      <c r="L571" s="188"/>
    </row>
    <row r="572" spans="3:12" hidden="1" x14ac:dyDescent="0.25">
      <c r="C572" s="173"/>
      <c r="D572" s="173"/>
      <c r="E572" s="173"/>
      <c r="F572" s="174"/>
      <c r="G572" s="174"/>
      <c r="H572" s="174"/>
      <c r="I572" s="174"/>
      <c r="J572" s="173"/>
      <c r="K572" s="173"/>
      <c r="L572" s="188"/>
    </row>
    <row r="573" spans="3:12" hidden="1" x14ac:dyDescent="0.25">
      <c r="C573" s="173"/>
      <c r="D573" s="173"/>
      <c r="E573" s="173"/>
      <c r="F573" s="174"/>
      <c r="G573" s="173"/>
      <c r="H573" s="174"/>
      <c r="I573" s="174"/>
      <c r="J573" s="173"/>
      <c r="K573" s="173"/>
      <c r="L573" s="188"/>
    </row>
    <row r="574" spans="3:12" hidden="1" x14ac:dyDescent="0.25">
      <c r="C574" s="173"/>
      <c r="D574" s="173"/>
      <c r="E574" s="173"/>
      <c r="F574" s="173"/>
      <c r="G574" s="173"/>
      <c r="H574" s="174"/>
      <c r="I574" s="174"/>
      <c r="J574" s="173"/>
      <c r="K574" s="173"/>
      <c r="L574" s="188"/>
    </row>
    <row r="575" spans="3:12" hidden="1" x14ac:dyDescent="0.25">
      <c r="C575" s="173"/>
      <c r="D575" s="173"/>
      <c r="E575" s="173"/>
      <c r="F575" s="174"/>
      <c r="G575" s="173"/>
      <c r="H575" s="174"/>
      <c r="I575" s="174"/>
      <c r="J575" s="173"/>
      <c r="K575" s="173"/>
      <c r="L575" s="188"/>
    </row>
    <row r="576" spans="3:12" hidden="1" x14ac:dyDescent="0.25">
      <c r="C576" s="173"/>
      <c r="D576" s="173"/>
      <c r="E576" s="173"/>
      <c r="F576" s="174"/>
      <c r="G576" s="173"/>
      <c r="H576" s="174"/>
      <c r="I576" s="174"/>
      <c r="J576" s="173"/>
      <c r="K576" s="173"/>
      <c r="L576" s="188"/>
    </row>
    <row r="577" spans="3:12" hidden="1" x14ac:dyDescent="0.25">
      <c r="C577" s="173"/>
      <c r="D577" s="173"/>
      <c r="E577" s="173"/>
      <c r="F577" s="173"/>
      <c r="G577" s="174"/>
      <c r="H577" s="174"/>
      <c r="I577" s="174"/>
      <c r="J577" s="173"/>
      <c r="K577" s="173"/>
      <c r="L577" s="188"/>
    </row>
    <row r="578" spans="3:12" hidden="1" x14ac:dyDescent="0.25">
      <c r="C578" s="173"/>
      <c r="D578" s="173"/>
      <c r="E578" s="173"/>
      <c r="F578" s="173"/>
      <c r="G578" s="174"/>
      <c r="H578" s="174"/>
      <c r="I578" s="174"/>
      <c r="J578" s="173"/>
      <c r="K578" s="173"/>
      <c r="L578" s="188"/>
    </row>
    <row r="579" spans="3:12" hidden="1" x14ac:dyDescent="0.25">
      <c r="C579" s="173"/>
      <c r="D579" s="173"/>
      <c r="E579" s="173"/>
      <c r="F579" s="173"/>
      <c r="G579" s="174"/>
      <c r="H579" s="174"/>
      <c r="I579" s="174"/>
      <c r="J579" s="173"/>
      <c r="K579" s="173"/>
      <c r="L579" s="188"/>
    </row>
    <row r="580" spans="3:12" hidden="1" x14ac:dyDescent="0.25">
      <c r="C580" s="173"/>
      <c r="D580" s="173"/>
      <c r="E580" s="173"/>
      <c r="F580" s="173"/>
      <c r="G580" s="173"/>
      <c r="H580" s="174"/>
      <c r="I580" s="174"/>
      <c r="J580" s="173"/>
      <c r="K580" s="173"/>
      <c r="L580" s="188"/>
    </row>
    <row r="581" spans="3:12" hidden="1" x14ac:dyDescent="0.25">
      <c r="C581" s="173"/>
      <c r="D581" s="173"/>
      <c r="E581" s="173"/>
      <c r="F581" s="173"/>
      <c r="G581" s="174"/>
      <c r="H581" s="174"/>
      <c r="I581" s="174"/>
      <c r="J581" s="173"/>
      <c r="K581" s="173"/>
      <c r="L581" s="188"/>
    </row>
    <row r="582" spans="3:12" hidden="1" x14ac:dyDescent="0.25">
      <c r="C582" s="173"/>
      <c r="D582" s="173"/>
      <c r="E582" s="173"/>
      <c r="F582" s="173"/>
      <c r="G582" s="173"/>
      <c r="H582" s="174"/>
      <c r="I582" s="174"/>
      <c r="J582" s="173"/>
      <c r="K582" s="173"/>
      <c r="L582" s="188"/>
    </row>
    <row r="583" spans="3:12" hidden="1" x14ac:dyDescent="0.25">
      <c r="C583" s="173"/>
      <c r="D583" s="173"/>
      <c r="E583" s="173"/>
      <c r="F583" s="173"/>
      <c r="G583" s="173"/>
      <c r="H583" s="174"/>
      <c r="I583" s="174"/>
      <c r="J583" s="173"/>
      <c r="K583" s="173"/>
      <c r="L583" s="188"/>
    </row>
    <row r="584" spans="3:12" hidden="1" x14ac:dyDescent="0.25">
      <c r="C584" s="173"/>
      <c r="D584" s="173"/>
      <c r="E584" s="173"/>
      <c r="F584" s="173"/>
      <c r="G584" s="173"/>
      <c r="H584" s="174"/>
      <c r="I584" s="174"/>
      <c r="J584" s="173"/>
      <c r="K584" s="173"/>
      <c r="L584" s="188"/>
    </row>
    <row r="585" spans="3:12" hidden="1" x14ac:dyDescent="0.25">
      <c r="C585" s="173"/>
      <c r="D585" s="173"/>
      <c r="E585" s="173"/>
      <c r="F585" s="173"/>
      <c r="G585" s="173"/>
      <c r="H585" s="174"/>
      <c r="I585" s="174"/>
      <c r="J585" s="173"/>
      <c r="K585" s="173"/>
      <c r="L585" s="188"/>
    </row>
    <row r="586" spans="3:12" hidden="1" x14ac:dyDescent="0.25">
      <c r="C586" s="173"/>
      <c r="D586" s="173"/>
      <c r="E586" s="173"/>
      <c r="F586" s="173"/>
      <c r="G586" s="173"/>
      <c r="H586" s="174"/>
      <c r="I586" s="174"/>
      <c r="J586" s="173"/>
      <c r="K586" s="173"/>
      <c r="L586" s="188"/>
    </row>
    <row r="587" spans="3:12" hidden="1" x14ac:dyDescent="0.25">
      <c r="C587" s="173"/>
      <c r="D587" s="173"/>
      <c r="E587" s="173"/>
      <c r="F587" s="173"/>
      <c r="G587" s="173"/>
      <c r="H587" s="174"/>
      <c r="I587" s="174"/>
      <c r="J587" s="173"/>
      <c r="K587" s="173"/>
      <c r="L587" s="188"/>
    </row>
    <row r="588" spans="3:12" hidden="1" x14ac:dyDescent="0.25">
      <c r="C588" s="173"/>
      <c r="D588" s="173"/>
      <c r="E588" s="173"/>
      <c r="F588" s="173"/>
      <c r="G588" s="173"/>
      <c r="H588" s="174"/>
      <c r="I588" s="174"/>
      <c r="J588" s="173"/>
      <c r="K588" s="173"/>
      <c r="L588" s="188"/>
    </row>
    <row r="589" spans="3:12" hidden="1" x14ac:dyDescent="0.25">
      <c r="C589" s="173"/>
      <c r="D589" s="173"/>
      <c r="E589" s="173"/>
      <c r="F589" s="173"/>
      <c r="G589" s="174"/>
      <c r="H589" s="174"/>
      <c r="I589" s="174"/>
      <c r="J589" s="173"/>
      <c r="K589" s="173"/>
      <c r="L589" s="188"/>
    </row>
    <row r="590" spans="3:12" hidden="1" x14ac:dyDescent="0.25">
      <c r="C590" s="173"/>
      <c r="D590" s="173"/>
      <c r="E590" s="173"/>
      <c r="F590" s="174"/>
      <c r="G590" s="173"/>
      <c r="H590" s="174"/>
      <c r="I590" s="174"/>
      <c r="J590" s="173"/>
      <c r="K590" s="173"/>
      <c r="L590" s="188"/>
    </row>
    <row r="591" spans="3:12" hidden="1" x14ac:dyDescent="0.25">
      <c r="C591" s="173"/>
      <c r="D591" s="173"/>
      <c r="E591" s="173"/>
      <c r="F591" s="174"/>
      <c r="G591" s="174"/>
      <c r="H591" s="174"/>
      <c r="I591" s="174"/>
      <c r="J591" s="173"/>
      <c r="K591" s="173"/>
      <c r="L591" s="188"/>
    </row>
    <row r="592" spans="3:12" hidden="1" x14ac:dyDescent="0.25">
      <c r="C592" s="173"/>
      <c r="D592" s="173"/>
      <c r="E592" s="173"/>
      <c r="F592" s="173"/>
      <c r="G592" s="173"/>
      <c r="H592" s="174"/>
      <c r="I592" s="174"/>
      <c r="J592" s="173"/>
      <c r="K592" s="173"/>
      <c r="L592" s="188"/>
    </row>
    <row r="593" spans="3:12" hidden="1" x14ac:dyDescent="0.25">
      <c r="C593" s="173"/>
      <c r="D593" s="173"/>
      <c r="E593" s="173"/>
      <c r="F593" s="174"/>
      <c r="G593" s="173"/>
      <c r="H593" s="174"/>
      <c r="I593" s="174"/>
      <c r="J593" s="173"/>
      <c r="K593" s="173"/>
      <c r="L593" s="188"/>
    </row>
    <row r="594" spans="3:12" hidden="1" x14ac:dyDescent="0.25">
      <c r="C594" s="173"/>
      <c r="D594" s="173"/>
      <c r="E594" s="173"/>
      <c r="F594" s="174"/>
      <c r="G594" s="173"/>
      <c r="H594" s="174"/>
      <c r="I594" s="174"/>
      <c r="J594" s="173"/>
      <c r="K594" s="173"/>
      <c r="L594" s="188"/>
    </row>
    <row r="595" spans="3:12" hidden="1" x14ac:dyDescent="0.25">
      <c r="C595" s="173"/>
      <c r="D595" s="173"/>
      <c r="E595" s="173"/>
      <c r="F595" s="173"/>
      <c r="G595" s="173"/>
      <c r="H595" s="174"/>
      <c r="I595" s="174"/>
      <c r="J595" s="173"/>
      <c r="K595" s="173"/>
      <c r="L595" s="188"/>
    </row>
    <row r="596" spans="3:12" hidden="1" x14ac:dyDescent="0.25">
      <c r="C596" s="173"/>
      <c r="D596" s="173"/>
      <c r="E596" s="173"/>
      <c r="F596" s="174"/>
      <c r="G596" s="173"/>
      <c r="H596" s="174"/>
      <c r="I596" s="174"/>
      <c r="J596" s="173"/>
      <c r="K596" s="173"/>
      <c r="L596" s="188"/>
    </row>
    <row r="597" spans="3:12" hidden="1" x14ac:dyDescent="0.25">
      <c r="C597" s="173"/>
      <c r="D597" s="173"/>
      <c r="E597" s="173"/>
      <c r="F597" s="173"/>
      <c r="G597" s="173"/>
      <c r="H597" s="174"/>
      <c r="I597" s="174"/>
      <c r="J597" s="173"/>
      <c r="K597" s="173"/>
      <c r="L597" s="188"/>
    </row>
    <row r="598" spans="3:12" hidden="1" x14ac:dyDescent="0.25">
      <c r="C598" s="173"/>
      <c r="D598" s="173"/>
      <c r="E598" s="173"/>
      <c r="F598" s="173"/>
      <c r="G598" s="173"/>
      <c r="H598" s="174"/>
      <c r="I598" s="174"/>
      <c r="J598" s="173"/>
      <c r="K598" s="173"/>
      <c r="L598" s="188"/>
    </row>
    <row r="599" spans="3:12" hidden="1" x14ac:dyDescent="0.25">
      <c r="C599" s="173"/>
      <c r="D599" s="173"/>
      <c r="E599" s="173"/>
      <c r="F599" s="173"/>
      <c r="G599" s="173"/>
      <c r="H599" s="174"/>
      <c r="I599" s="174"/>
      <c r="J599" s="173"/>
      <c r="K599" s="173"/>
      <c r="L599" s="188"/>
    </row>
    <row r="600" spans="3:12" hidden="1" x14ac:dyDescent="0.25">
      <c r="C600" s="173"/>
      <c r="D600" s="173"/>
      <c r="E600" s="173"/>
      <c r="F600" s="174"/>
      <c r="G600" s="173"/>
      <c r="H600" s="174"/>
      <c r="I600" s="174"/>
      <c r="J600" s="173"/>
      <c r="K600" s="173"/>
      <c r="L600" s="188"/>
    </row>
    <row r="601" spans="3:12" hidden="1" x14ac:dyDescent="0.25">
      <c r="C601" s="173"/>
      <c r="D601" s="173"/>
      <c r="E601" s="173"/>
      <c r="F601" s="173"/>
      <c r="G601" s="174"/>
      <c r="H601" s="174"/>
      <c r="I601" s="174"/>
      <c r="J601" s="173"/>
      <c r="K601" s="173"/>
      <c r="L601" s="188"/>
    </row>
    <row r="602" spans="3:12" hidden="1" x14ac:dyDescent="0.25">
      <c r="C602" s="173"/>
      <c r="D602" s="173"/>
      <c r="E602" s="173"/>
      <c r="F602" s="174"/>
      <c r="G602" s="174"/>
      <c r="H602" s="174"/>
      <c r="I602" s="174"/>
      <c r="J602" s="173"/>
      <c r="K602" s="173"/>
      <c r="L602" s="188"/>
    </row>
    <row r="603" spans="3:12" hidden="1" x14ac:dyDescent="0.25">
      <c r="C603" s="173"/>
      <c r="D603" s="173"/>
      <c r="E603" s="173"/>
      <c r="F603" s="173"/>
      <c r="G603" s="174"/>
      <c r="H603" s="174"/>
      <c r="I603" s="174"/>
      <c r="J603" s="173"/>
      <c r="K603" s="173"/>
      <c r="L603" s="188"/>
    </row>
    <row r="604" spans="3:12" hidden="1" x14ac:dyDescent="0.25">
      <c r="C604" s="173"/>
      <c r="D604" s="173"/>
      <c r="E604" s="173"/>
      <c r="F604" s="173"/>
      <c r="G604" s="174"/>
      <c r="H604" s="174"/>
      <c r="I604" s="174"/>
      <c r="J604" s="173"/>
      <c r="K604" s="173"/>
      <c r="L604" s="188"/>
    </row>
    <row r="605" spans="3:12" hidden="1" x14ac:dyDescent="0.25">
      <c r="C605" s="173"/>
      <c r="D605" s="173"/>
      <c r="E605" s="173"/>
      <c r="F605" s="174"/>
      <c r="G605" s="173"/>
      <c r="H605" s="174"/>
      <c r="I605" s="174"/>
      <c r="J605" s="173"/>
      <c r="K605" s="173"/>
      <c r="L605" s="188"/>
    </row>
    <row r="606" spans="3:12" hidden="1" x14ac:dyDescent="0.25">
      <c r="C606" s="173"/>
      <c r="D606" s="173"/>
      <c r="E606" s="173"/>
      <c r="F606" s="174"/>
      <c r="G606" s="173"/>
      <c r="H606" s="174"/>
      <c r="I606" s="174"/>
      <c r="J606" s="173"/>
      <c r="K606" s="173"/>
      <c r="L606" s="188"/>
    </row>
    <row r="607" spans="3:12" hidden="1" x14ac:dyDescent="0.25">
      <c r="C607" s="173"/>
      <c r="D607" s="173"/>
      <c r="E607" s="173"/>
      <c r="F607" s="174"/>
      <c r="G607" s="173"/>
      <c r="H607" s="174"/>
      <c r="I607" s="174"/>
      <c r="J607" s="173"/>
      <c r="K607" s="173"/>
      <c r="L607" s="188"/>
    </row>
    <row r="608" spans="3:12" hidden="1" x14ac:dyDescent="0.25">
      <c r="C608" s="173"/>
      <c r="D608" s="173"/>
      <c r="E608" s="173"/>
      <c r="F608" s="174"/>
      <c r="G608" s="174"/>
      <c r="H608" s="174"/>
      <c r="I608" s="174"/>
      <c r="J608" s="173"/>
      <c r="K608" s="173"/>
      <c r="L608" s="188"/>
    </row>
    <row r="609" spans="3:12" hidden="1" x14ac:dyDescent="0.25">
      <c r="C609" s="173"/>
      <c r="D609" s="173"/>
      <c r="E609" s="173"/>
      <c r="F609" s="174"/>
      <c r="G609" s="173"/>
      <c r="H609" s="174"/>
      <c r="I609" s="174"/>
      <c r="J609" s="173"/>
      <c r="K609" s="173"/>
      <c r="L609" s="188"/>
    </row>
    <row r="610" spans="3:12" hidden="1" x14ac:dyDescent="0.25">
      <c r="C610" s="173"/>
      <c r="D610" s="173"/>
      <c r="E610" s="173"/>
      <c r="F610" s="173"/>
      <c r="G610" s="174"/>
      <c r="H610" s="174"/>
      <c r="I610" s="174"/>
      <c r="J610" s="173"/>
      <c r="K610" s="173"/>
      <c r="L610" s="188"/>
    </row>
    <row r="611" spans="3:12" hidden="1" x14ac:dyDescent="0.25">
      <c r="C611" s="173"/>
      <c r="D611" s="173"/>
      <c r="E611" s="173"/>
      <c r="F611" s="174"/>
      <c r="G611" s="173"/>
      <c r="H611" s="174"/>
      <c r="I611" s="174"/>
      <c r="J611" s="173"/>
      <c r="K611" s="173"/>
      <c r="L611" s="188"/>
    </row>
    <row r="612" spans="3:12" hidden="1" x14ac:dyDescent="0.25">
      <c r="C612" s="173"/>
      <c r="D612" s="173"/>
      <c r="E612" s="173"/>
      <c r="F612" s="174"/>
      <c r="G612" s="174"/>
      <c r="H612" s="174"/>
      <c r="I612" s="174"/>
      <c r="J612" s="173"/>
      <c r="K612" s="173"/>
      <c r="L612" s="188"/>
    </row>
    <row r="613" spans="3:12" hidden="1" x14ac:dyDescent="0.25">
      <c r="C613" s="173"/>
      <c r="D613" s="173"/>
      <c r="E613" s="173"/>
      <c r="F613" s="174"/>
      <c r="G613" s="173"/>
      <c r="H613" s="174"/>
      <c r="I613" s="174"/>
      <c r="J613" s="173"/>
      <c r="K613" s="173"/>
      <c r="L613" s="188"/>
    </row>
    <row r="614" spans="3:12" hidden="1" x14ac:dyDescent="0.25">
      <c r="C614" s="173"/>
      <c r="D614" s="173"/>
      <c r="E614" s="173"/>
      <c r="F614" s="174"/>
      <c r="G614" s="173"/>
      <c r="H614" s="174"/>
      <c r="I614" s="174"/>
      <c r="J614" s="173"/>
      <c r="K614" s="173"/>
      <c r="L614" s="188"/>
    </row>
    <row r="615" spans="3:12" hidden="1" x14ac:dyDescent="0.25">
      <c r="C615" s="173"/>
      <c r="D615" s="173"/>
      <c r="E615" s="173"/>
      <c r="F615" s="174"/>
      <c r="G615" s="173"/>
      <c r="H615" s="174"/>
      <c r="I615" s="174"/>
      <c r="J615" s="173"/>
      <c r="K615" s="173"/>
      <c r="L615" s="188"/>
    </row>
    <row r="616" spans="3:12" hidden="1" x14ac:dyDescent="0.25">
      <c r="C616" s="173"/>
      <c r="D616" s="173"/>
      <c r="E616" s="173"/>
      <c r="F616" s="174"/>
      <c r="G616" s="174"/>
      <c r="H616" s="174"/>
      <c r="I616" s="174"/>
      <c r="J616" s="173"/>
      <c r="K616" s="173"/>
      <c r="L616" s="188"/>
    </row>
    <row r="617" spans="3:12" hidden="1" x14ac:dyDescent="0.25">
      <c r="C617" s="173"/>
      <c r="D617" s="173"/>
      <c r="E617" s="173"/>
      <c r="F617" s="174"/>
      <c r="G617" s="174"/>
      <c r="H617" s="174"/>
      <c r="I617" s="174"/>
      <c r="J617" s="173"/>
      <c r="K617" s="173"/>
      <c r="L617" s="188"/>
    </row>
    <row r="618" spans="3:12" hidden="1" x14ac:dyDescent="0.25">
      <c r="C618" s="173"/>
      <c r="D618" s="173"/>
      <c r="E618" s="173"/>
      <c r="F618" s="174"/>
      <c r="G618" s="174"/>
      <c r="H618" s="174"/>
      <c r="I618" s="174"/>
      <c r="J618" s="173"/>
      <c r="K618" s="173"/>
      <c r="L618" s="188"/>
    </row>
    <row r="619" spans="3:12" hidden="1" x14ac:dyDescent="0.25">
      <c r="C619" s="173"/>
      <c r="D619" s="173"/>
      <c r="E619" s="173"/>
      <c r="F619" s="174"/>
      <c r="G619" s="174"/>
      <c r="H619" s="174"/>
      <c r="I619" s="174"/>
      <c r="J619" s="173"/>
      <c r="K619" s="173"/>
      <c r="L619" s="188"/>
    </row>
    <row r="620" spans="3:12" hidden="1" x14ac:dyDescent="0.25">
      <c r="C620" s="173"/>
      <c r="D620" s="173"/>
      <c r="E620" s="173"/>
      <c r="F620" s="173"/>
      <c r="G620" s="174"/>
      <c r="H620" s="174"/>
      <c r="I620" s="174"/>
      <c r="J620" s="173"/>
      <c r="K620" s="173"/>
      <c r="L620" s="188"/>
    </row>
    <row r="621" spans="3:12" hidden="1" x14ac:dyDescent="0.25">
      <c r="C621" s="173"/>
      <c r="D621" s="173"/>
      <c r="E621" s="173"/>
      <c r="F621" s="173"/>
      <c r="G621" s="174"/>
      <c r="H621" s="174"/>
      <c r="I621" s="174"/>
      <c r="J621" s="173"/>
      <c r="K621" s="173"/>
      <c r="L621" s="188"/>
    </row>
    <row r="622" spans="3:12" hidden="1" x14ac:dyDescent="0.25">
      <c r="C622" s="173"/>
      <c r="D622" s="173"/>
      <c r="E622" s="173"/>
      <c r="F622" s="174"/>
      <c r="G622" s="173"/>
      <c r="H622" s="174"/>
      <c r="I622" s="174"/>
      <c r="J622" s="173"/>
      <c r="K622" s="173"/>
      <c r="L622" s="188"/>
    </row>
    <row r="623" spans="3:12" hidden="1" x14ac:dyDescent="0.25">
      <c r="C623" s="173"/>
      <c r="D623" s="173"/>
      <c r="E623" s="173"/>
      <c r="F623" s="174"/>
      <c r="G623" s="173"/>
      <c r="H623" s="174"/>
      <c r="I623" s="174"/>
      <c r="J623" s="173"/>
      <c r="K623" s="173"/>
      <c r="L623" s="188"/>
    </row>
    <row r="624" spans="3:12" hidden="1" x14ac:dyDescent="0.25">
      <c r="C624" s="173"/>
      <c r="D624" s="173"/>
      <c r="E624" s="173"/>
      <c r="F624" s="173"/>
      <c r="G624" s="173"/>
      <c r="H624" s="174"/>
      <c r="I624" s="174"/>
      <c r="J624" s="173"/>
      <c r="K624" s="173"/>
      <c r="L624" s="188"/>
    </row>
    <row r="625" spans="3:12" hidden="1" x14ac:dyDescent="0.25">
      <c r="C625" s="173"/>
      <c r="D625" s="173"/>
      <c r="E625" s="173"/>
      <c r="F625" s="174"/>
      <c r="G625" s="173"/>
      <c r="H625" s="174"/>
      <c r="I625" s="174"/>
      <c r="J625" s="173"/>
      <c r="K625" s="173"/>
      <c r="L625" s="188"/>
    </row>
    <row r="626" spans="3:12" hidden="1" x14ac:dyDescent="0.25">
      <c r="C626" s="173"/>
      <c r="D626" s="173"/>
      <c r="E626" s="173"/>
      <c r="F626" s="173"/>
      <c r="G626" s="173"/>
      <c r="H626" s="174"/>
      <c r="I626" s="174"/>
      <c r="J626" s="173"/>
      <c r="K626" s="173"/>
      <c r="L626" s="188"/>
    </row>
    <row r="627" spans="3:12" hidden="1" x14ac:dyDescent="0.25">
      <c r="C627" s="173"/>
      <c r="D627" s="173"/>
      <c r="E627" s="173"/>
      <c r="F627" s="173"/>
      <c r="G627" s="173"/>
      <c r="H627" s="174"/>
      <c r="I627" s="174"/>
      <c r="J627" s="173"/>
      <c r="K627" s="173"/>
      <c r="L627" s="188"/>
    </row>
    <row r="628" spans="3:12" hidden="1" x14ac:dyDescent="0.25">
      <c r="C628" s="173"/>
      <c r="D628" s="173"/>
      <c r="E628" s="173"/>
      <c r="F628" s="173"/>
      <c r="G628" s="174"/>
      <c r="H628" s="174"/>
      <c r="I628" s="174"/>
      <c r="J628" s="173"/>
      <c r="K628" s="173"/>
      <c r="L628" s="188"/>
    </row>
    <row r="629" spans="3:12" hidden="1" x14ac:dyDescent="0.25">
      <c r="C629" s="173"/>
      <c r="D629" s="173"/>
      <c r="E629" s="173"/>
      <c r="F629" s="173"/>
      <c r="G629" s="174"/>
      <c r="H629" s="174"/>
      <c r="I629" s="174"/>
      <c r="J629" s="173"/>
      <c r="K629" s="173"/>
      <c r="L629" s="188"/>
    </row>
    <row r="630" spans="3:12" hidden="1" x14ac:dyDescent="0.25">
      <c r="C630" s="173"/>
      <c r="D630" s="173"/>
      <c r="E630" s="173"/>
      <c r="F630" s="173"/>
      <c r="G630" s="174"/>
      <c r="H630" s="174"/>
      <c r="I630" s="174"/>
      <c r="J630" s="173"/>
      <c r="K630" s="173"/>
      <c r="L630" s="188"/>
    </row>
    <row r="631" spans="3:12" hidden="1" x14ac:dyDescent="0.25">
      <c r="C631" s="173"/>
      <c r="D631" s="173"/>
      <c r="E631" s="173"/>
      <c r="F631" s="173"/>
      <c r="G631" s="174"/>
      <c r="H631" s="174"/>
      <c r="I631" s="174"/>
      <c r="J631" s="173"/>
      <c r="K631" s="173"/>
      <c r="L631" s="188"/>
    </row>
    <row r="632" spans="3:12" hidden="1" x14ac:dyDescent="0.25">
      <c r="C632" s="173"/>
      <c r="D632" s="173"/>
      <c r="E632" s="173"/>
      <c r="F632" s="173"/>
      <c r="G632" s="174"/>
      <c r="H632" s="174"/>
      <c r="I632" s="174"/>
      <c r="J632" s="173"/>
      <c r="K632" s="173"/>
      <c r="L632" s="188"/>
    </row>
    <row r="633" spans="3:12" hidden="1" x14ac:dyDescent="0.25">
      <c r="C633" s="173"/>
      <c r="D633" s="173"/>
      <c r="E633" s="173"/>
      <c r="F633" s="173"/>
      <c r="G633" s="173"/>
      <c r="H633" s="174"/>
      <c r="I633" s="174"/>
      <c r="J633" s="173"/>
      <c r="K633" s="173"/>
      <c r="L633" s="188"/>
    </row>
    <row r="634" spans="3:12" hidden="1" x14ac:dyDescent="0.25">
      <c r="C634" s="173"/>
      <c r="D634" s="173"/>
      <c r="E634" s="173"/>
      <c r="F634" s="174"/>
      <c r="G634" s="174"/>
      <c r="H634" s="174"/>
      <c r="I634" s="174"/>
      <c r="J634" s="173"/>
      <c r="K634" s="173"/>
      <c r="L634" s="188" t="s">
        <v>187</v>
      </c>
    </row>
    <row r="635" spans="3:12" hidden="1" x14ac:dyDescent="0.25">
      <c r="C635" s="173"/>
      <c r="D635" s="173"/>
      <c r="E635" s="173"/>
      <c r="F635" s="173"/>
      <c r="G635" s="174"/>
      <c r="H635" s="174"/>
      <c r="I635" s="174"/>
      <c r="J635" s="173"/>
      <c r="K635" s="173"/>
      <c r="L635" s="188"/>
    </row>
    <row r="636" spans="3:12" hidden="1" x14ac:dyDescent="0.25">
      <c r="C636" s="173"/>
      <c r="D636" s="173"/>
      <c r="E636" s="173"/>
      <c r="F636" s="174"/>
      <c r="G636" s="174"/>
      <c r="H636" s="174"/>
      <c r="I636" s="174"/>
      <c r="J636" s="173"/>
      <c r="K636" s="173"/>
      <c r="L636" s="188"/>
    </row>
    <row r="637" spans="3:12" hidden="1" x14ac:dyDescent="0.25">
      <c r="C637" s="173"/>
      <c r="D637" s="173"/>
      <c r="E637" s="173"/>
      <c r="F637" s="173"/>
      <c r="G637" s="174"/>
      <c r="H637" s="174"/>
      <c r="I637" s="174"/>
      <c r="J637" s="173"/>
      <c r="K637" s="173"/>
      <c r="L637" s="188"/>
    </row>
    <row r="638" spans="3:12" hidden="1" x14ac:dyDescent="0.25">
      <c r="C638" s="173"/>
      <c r="D638" s="173"/>
      <c r="E638" s="173"/>
      <c r="F638" s="173"/>
      <c r="G638" s="174"/>
      <c r="H638" s="174"/>
      <c r="I638" s="174"/>
      <c r="J638" s="173"/>
      <c r="K638" s="173"/>
      <c r="L638" s="188"/>
    </row>
    <row r="639" spans="3:12" hidden="1" x14ac:dyDescent="0.25">
      <c r="C639" s="173"/>
      <c r="D639" s="173"/>
      <c r="E639" s="173"/>
      <c r="F639" s="174"/>
      <c r="G639" s="173"/>
      <c r="H639" s="174"/>
      <c r="I639" s="174"/>
      <c r="J639" s="173"/>
      <c r="K639" s="173"/>
      <c r="L639" s="188"/>
    </row>
    <row r="640" spans="3:12" hidden="1" x14ac:dyDescent="0.25">
      <c r="C640" s="173"/>
      <c r="D640" s="173"/>
      <c r="E640" s="173"/>
      <c r="F640" s="174"/>
      <c r="G640" s="173"/>
      <c r="H640" s="174"/>
      <c r="I640" s="174"/>
      <c r="J640" s="173"/>
      <c r="K640" s="173"/>
      <c r="L640" s="188"/>
    </row>
    <row r="641" spans="3:12" hidden="1" x14ac:dyDescent="0.25">
      <c r="C641" s="173"/>
      <c r="D641" s="173"/>
      <c r="E641" s="173"/>
      <c r="F641" s="173"/>
      <c r="G641" s="173"/>
      <c r="H641" s="174"/>
      <c r="I641" s="174"/>
      <c r="J641" s="173"/>
      <c r="K641" s="173"/>
      <c r="L641" s="188"/>
    </row>
    <row r="642" spans="3:12" hidden="1" x14ac:dyDescent="0.25">
      <c r="C642" s="173"/>
      <c r="D642" s="173"/>
      <c r="E642" s="173"/>
      <c r="F642" s="173"/>
      <c r="G642" s="173"/>
      <c r="H642" s="174"/>
      <c r="I642" s="174"/>
      <c r="J642" s="173"/>
      <c r="K642" s="173"/>
      <c r="L642" s="188"/>
    </row>
    <row r="643" spans="3:12" hidden="1" x14ac:dyDescent="0.25">
      <c r="C643" s="173"/>
      <c r="D643" s="173"/>
      <c r="E643" s="173"/>
      <c r="F643" s="173"/>
      <c r="G643" s="173"/>
      <c r="H643" s="174"/>
      <c r="I643" s="174"/>
      <c r="J643" s="173"/>
      <c r="K643" s="173"/>
      <c r="L643" s="188"/>
    </row>
    <row r="644" spans="3:12" hidden="1" x14ac:dyDescent="0.25">
      <c r="C644" s="173"/>
      <c r="D644" s="173"/>
      <c r="E644" s="173"/>
      <c r="F644" s="173"/>
      <c r="G644" s="174"/>
      <c r="H644" s="174"/>
      <c r="I644" s="174"/>
      <c r="J644" s="173"/>
      <c r="K644" s="173"/>
      <c r="L644" s="188"/>
    </row>
    <row r="645" spans="3:12" hidden="1" x14ac:dyDescent="0.25">
      <c r="C645" s="173"/>
      <c r="D645" s="173"/>
      <c r="E645" s="173"/>
      <c r="F645" s="174"/>
      <c r="G645" s="173"/>
      <c r="H645" s="174"/>
      <c r="I645" s="174"/>
      <c r="J645" s="173"/>
      <c r="K645" s="173"/>
      <c r="L645" s="188"/>
    </row>
    <row r="646" spans="3:12" hidden="1" x14ac:dyDescent="0.25">
      <c r="C646" s="173"/>
      <c r="D646" s="173"/>
      <c r="E646" s="173"/>
      <c r="F646" s="173"/>
      <c r="G646" s="174"/>
      <c r="H646" s="174"/>
      <c r="I646" s="174"/>
      <c r="J646" s="173"/>
      <c r="K646" s="173"/>
      <c r="L646" s="188"/>
    </row>
    <row r="647" spans="3:12" hidden="1" x14ac:dyDescent="0.25">
      <c r="C647" s="173"/>
      <c r="D647" s="173"/>
      <c r="E647" s="173"/>
      <c r="F647" s="173"/>
      <c r="G647" s="173"/>
      <c r="H647" s="174"/>
      <c r="I647" s="174"/>
      <c r="J647" s="173"/>
      <c r="K647" s="173"/>
      <c r="L647" s="188"/>
    </row>
    <row r="648" spans="3:12" hidden="1" x14ac:dyDescent="0.25">
      <c r="C648" s="173"/>
      <c r="D648" s="173"/>
      <c r="E648" s="173"/>
      <c r="F648" s="174"/>
      <c r="G648" s="173"/>
      <c r="H648" s="174"/>
      <c r="I648" s="174"/>
      <c r="J648" s="173"/>
      <c r="K648" s="173"/>
      <c r="L648" s="188"/>
    </row>
    <row r="649" spans="3:12" hidden="1" x14ac:dyDescent="0.25">
      <c r="C649" s="173"/>
      <c r="D649" s="173"/>
      <c r="E649" s="173"/>
      <c r="F649" s="174"/>
      <c r="G649" s="173"/>
      <c r="H649" s="174"/>
      <c r="I649" s="174"/>
      <c r="J649" s="173"/>
      <c r="K649" s="173"/>
      <c r="L649" s="188"/>
    </row>
    <row r="650" spans="3:12" hidden="1" x14ac:dyDescent="0.25">
      <c r="C650" s="173"/>
      <c r="D650" s="173"/>
      <c r="E650" s="173"/>
      <c r="F650" s="174"/>
      <c r="G650" s="173"/>
      <c r="H650" s="174"/>
      <c r="I650" s="174"/>
      <c r="J650" s="173"/>
      <c r="K650" s="173"/>
      <c r="L650" s="188"/>
    </row>
    <row r="651" spans="3:12" hidden="1" x14ac:dyDescent="0.25">
      <c r="C651" s="173"/>
      <c r="D651" s="173"/>
      <c r="E651" s="173"/>
      <c r="F651" s="174"/>
      <c r="G651" s="173"/>
      <c r="H651" s="174"/>
      <c r="I651" s="174"/>
      <c r="J651" s="173"/>
      <c r="K651" s="173"/>
      <c r="L651" s="188"/>
    </row>
    <row r="652" spans="3:12" hidden="1" x14ac:dyDescent="0.25">
      <c r="C652" s="173"/>
      <c r="D652" s="173"/>
      <c r="E652" s="173"/>
      <c r="F652" s="174"/>
      <c r="G652" s="173"/>
      <c r="H652" s="174"/>
      <c r="I652" s="174"/>
      <c r="J652" s="173"/>
      <c r="K652" s="173"/>
      <c r="L652" s="188"/>
    </row>
    <row r="653" spans="3:12" hidden="1" x14ac:dyDescent="0.25">
      <c r="C653" s="173"/>
      <c r="D653" s="173"/>
      <c r="E653" s="173"/>
      <c r="F653" s="174"/>
      <c r="G653" s="173"/>
      <c r="H653" s="174"/>
      <c r="I653" s="174"/>
      <c r="J653" s="173"/>
      <c r="K653" s="173"/>
      <c r="L653" s="188"/>
    </row>
    <row r="654" spans="3:12" hidden="1" x14ac:dyDescent="0.25">
      <c r="C654" s="173"/>
      <c r="D654" s="173"/>
      <c r="E654" s="173"/>
      <c r="F654" s="173"/>
      <c r="G654" s="174"/>
      <c r="H654" s="174"/>
      <c r="I654" s="174"/>
      <c r="J654" s="173"/>
      <c r="K654" s="173"/>
      <c r="L654" s="188"/>
    </row>
    <row r="655" spans="3:12" hidden="1" x14ac:dyDescent="0.25">
      <c r="C655" s="173"/>
      <c r="D655" s="173"/>
      <c r="E655" s="173"/>
      <c r="F655" s="174"/>
      <c r="G655" s="174"/>
      <c r="H655" s="174"/>
      <c r="I655" s="174"/>
      <c r="J655" s="173"/>
      <c r="K655" s="173"/>
      <c r="L655" s="188"/>
    </row>
    <row r="656" spans="3:12" hidden="1" x14ac:dyDescent="0.25">
      <c r="C656" s="173"/>
      <c r="D656" s="173"/>
      <c r="E656" s="173"/>
      <c r="F656" s="173"/>
      <c r="G656" s="174"/>
      <c r="H656" s="174"/>
      <c r="I656" s="174"/>
      <c r="J656" s="173"/>
      <c r="K656" s="173"/>
      <c r="L656" s="188"/>
    </row>
    <row r="657" spans="3:12" hidden="1" x14ac:dyDescent="0.25">
      <c r="C657" s="173"/>
      <c r="D657" s="173"/>
      <c r="E657" s="173"/>
      <c r="F657" s="173"/>
      <c r="G657" s="173"/>
      <c r="H657" s="174"/>
      <c r="I657" s="174"/>
      <c r="J657" s="173"/>
      <c r="K657" s="173"/>
      <c r="L657" s="188"/>
    </row>
    <row r="658" spans="3:12" hidden="1" x14ac:dyDescent="0.25">
      <c r="C658" s="173"/>
      <c r="D658" s="173"/>
      <c r="E658" s="173"/>
      <c r="F658" s="173"/>
      <c r="G658" s="173"/>
      <c r="H658" s="174"/>
      <c r="I658" s="174"/>
      <c r="J658" s="173"/>
      <c r="K658" s="173"/>
      <c r="L658" s="188"/>
    </row>
    <row r="659" spans="3:12" hidden="1" x14ac:dyDescent="0.25">
      <c r="C659" s="175"/>
      <c r="D659" s="175"/>
      <c r="E659" s="175"/>
      <c r="F659" s="176"/>
      <c r="G659" s="175"/>
      <c r="H659" s="176"/>
      <c r="I659" s="176"/>
      <c r="J659" s="175"/>
      <c r="K659" s="175"/>
      <c r="L659" s="188"/>
    </row>
    <row r="660" spans="3:12" hidden="1" x14ac:dyDescent="0.25">
      <c r="C660" s="184"/>
      <c r="D660" s="184"/>
      <c r="E660" s="184"/>
      <c r="F660" s="186"/>
      <c r="G660" s="184"/>
      <c r="H660" s="186"/>
      <c r="I660" s="186"/>
      <c r="J660" s="184"/>
      <c r="K660" s="184"/>
      <c r="L660" s="188"/>
    </row>
    <row r="661" spans="3:12" hidden="1" x14ac:dyDescent="0.25">
      <c r="C661" s="184"/>
      <c r="D661" s="184"/>
      <c r="E661" s="184"/>
      <c r="F661" s="186"/>
      <c r="G661" s="184"/>
      <c r="H661" s="186"/>
      <c r="I661" s="186"/>
      <c r="J661" s="184"/>
      <c r="K661" s="184"/>
      <c r="L661" s="188"/>
    </row>
    <row r="662" spans="3:12" hidden="1" x14ac:dyDescent="0.25">
      <c r="C662" s="184"/>
      <c r="D662" s="184"/>
      <c r="E662" s="184"/>
      <c r="F662" s="186"/>
      <c r="G662" s="184"/>
      <c r="H662" s="186"/>
      <c r="I662" s="186"/>
      <c r="J662" s="184"/>
      <c r="K662" s="184"/>
      <c r="L662" s="188"/>
    </row>
    <row r="663" spans="3:12" hidden="1" x14ac:dyDescent="0.25">
      <c r="C663" s="184"/>
      <c r="D663" s="184"/>
      <c r="E663" s="184"/>
      <c r="F663" s="186"/>
      <c r="G663" s="186"/>
      <c r="H663" s="186"/>
      <c r="I663" s="186"/>
      <c r="J663" s="184"/>
      <c r="K663" s="184"/>
      <c r="L663" s="188"/>
    </row>
    <row r="664" spans="3:12" hidden="1" x14ac:dyDescent="0.25">
      <c r="C664" s="184"/>
      <c r="D664" s="184"/>
      <c r="E664" s="184"/>
      <c r="F664" s="184"/>
      <c r="G664" s="186"/>
      <c r="H664" s="186"/>
      <c r="I664" s="186"/>
      <c r="J664" s="184"/>
      <c r="K664" s="184"/>
      <c r="L664" s="188"/>
    </row>
    <row r="665" spans="3:12" hidden="1" x14ac:dyDescent="0.25">
      <c r="C665" s="184"/>
      <c r="D665" s="184"/>
      <c r="E665" s="184"/>
      <c r="F665" s="186"/>
      <c r="G665" s="184"/>
      <c r="H665" s="186"/>
      <c r="I665" s="186"/>
      <c r="J665" s="184"/>
      <c r="K665" s="184"/>
      <c r="L665" s="188"/>
    </row>
    <row r="666" spans="3:12" hidden="1" x14ac:dyDescent="0.25">
      <c r="C666" s="184"/>
      <c r="D666" s="184"/>
      <c r="E666" s="184"/>
      <c r="F666" s="184"/>
      <c r="G666" s="186"/>
      <c r="H666" s="186"/>
      <c r="I666" s="186"/>
      <c r="J666" s="184"/>
      <c r="K666" s="184"/>
      <c r="L666" s="188"/>
    </row>
    <row r="667" spans="3:12" hidden="1" x14ac:dyDescent="0.25">
      <c r="C667" s="184"/>
      <c r="D667" s="184"/>
      <c r="E667" s="184"/>
      <c r="F667" s="186"/>
      <c r="G667" s="184"/>
      <c r="H667" s="186"/>
      <c r="I667" s="186"/>
      <c r="J667" s="184"/>
      <c r="K667" s="184"/>
      <c r="L667" s="188"/>
    </row>
    <row r="668" spans="3:12" hidden="1" x14ac:dyDescent="0.25">
      <c r="C668" s="184"/>
      <c r="D668" s="184"/>
      <c r="E668" s="184"/>
      <c r="F668" s="186"/>
      <c r="G668" s="184"/>
      <c r="H668" s="186"/>
      <c r="I668" s="186"/>
      <c r="J668" s="184"/>
      <c r="K668" s="184"/>
      <c r="L668" s="188"/>
    </row>
    <row r="669" spans="3:12" hidden="1" x14ac:dyDescent="0.25">
      <c r="C669" s="184"/>
      <c r="D669" s="184"/>
      <c r="E669" s="184"/>
      <c r="F669" s="186"/>
      <c r="G669" s="184"/>
      <c r="H669" s="186"/>
      <c r="I669" s="186"/>
      <c r="J669" s="184"/>
      <c r="K669" s="184"/>
      <c r="L669" s="188"/>
    </row>
    <row r="670" spans="3:12" hidden="1" x14ac:dyDescent="0.25">
      <c r="C670" s="184"/>
      <c r="D670" s="184"/>
      <c r="E670" s="184"/>
      <c r="F670" s="186"/>
      <c r="G670" s="184"/>
      <c r="H670" s="186"/>
      <c r="I670" s="186"/>
      <c r="J670" s="184"/>
      <c r="K670" s="184"/>
      <c r="L670" s="188"/>
    </row>
    <row r="671" spans="3:12" hidden="1" x14ac:dyDescent="0.25">
      <c r="C671" s="184"/>
      <c r="D671" s="184"/>
      <c r="E671" s="184"/>
      <c r="F671" s="186"/>
      <c r="G671" s="184"/>
      <c r="H671" s="186"/>
      <c r="I671" s="186"/>
      <c r="J671" s="184"/>
      <c r="K671" s="184"/>
      <c r="L671" s="188"/>
    </row>
    <row r="672" spans="3:12" hidden="1" x14ac:dyDescent="0.25">
      <c r="C672" s="184"/>
      <c r="D672" s="184"/>
      <c r="E672" s="184"/>
      <c r="F672" s="184"/>
      <c r="G672" s="184"/>
      <c r="H672" s="186"/>
      <c r="I672" s="186"/>
      <c r="J672" s="184"/>
      <c r="K672" s="184"/>
      <c r="L672" s="188"/>
    </row>
    <row r="673" spans="3:12" hidden="1" x14ac:dyDescent="0.25">
      <c r="C673" s="184"/>
      <c r="D673" s="184"/>
      <c r="E673" s="184"/>
      <c r="F673" s="186"/>
      <c r="G673" s="186"/>
      <c r="H673" s="186"/>
      <c r="I673" s="186"/>
      <c r="J673" s="184"/>
      <c r="K673" s="184"/>
      <c r="L673" s="188"/>
    </row>
    <row r="674" spans="3:12" hidden="1" x14ac:dyDescent="0.25">
      <c r="C674" s="184"/>
      <c r="D674" s="184"/>
      <c r="E674" s="184"/>
      <c r="F674" s="184"/>
      <c r="G674" s="186"/>
      <c r="H674" s="186"/>
      <c r="I674" s="186"/>
      <c r="J674" s="184"/>
      <c r="K674" s="184"/>
      <c r="L674" s="188"/>
    </row>
    <row r="675" spans="3:12" hidden="1" x14ac:dyDescent="0.25">
      <c r="C675" s="184"/>
      <c r="D675" s="184"/>
      <c r="E675" s="184"/>
      <c r="F675" s="186"/>
      <c r="G675" s="186"/>
      <c r="H675" s="186"/>
      <c r="I675" s="186"/>
      <c r="J675" s="184"/>
      <c r="K675" s="184"/>
      <c r="L675" s="188" t="s">
        <v>187</v>
      </c>
    </row>
    <row r="676" spans="3:12" hidden="1" x14ac:dyDescent="0.25">
      <c r="C676" s="184"/>
      <c r="D676" s="184"/>
      <c r="E676" s="184"/>
      <c r="F676" s="184"/>
      <c r="G676" s="186"/>
      <c r="H676" s="186"/>
      <c r="I676" s="186"/>
      <c r="J676" s="184"/>
      <c r="K676" s="184"/>
      <c r="L676" s="188"/>
    </row>
    <row r="677" spans="3:12" hidden="1" x14ac:dyDescent="0.25">
      <c r="C677" s="184"/>
      <c r="D677" s="184"/>
      <c r="E677" s="184"/>
      <c r="F677" s="186"/>
      <c r="G677" s="186"/>
      <c r="H677" s="186"/>
      <c r="I677" s="186"/>
      <c r="J677" s="184"/>
      <c r="K677" s="184"/>
      <c r="L677" s="188"/>
    </row>
    <row r="678" spans="3:12" hidden="1" x14ac:dyDescent="0.25">
      <c r="C678" s="184"/>
      <c r="D678" s="184"/>
      <c r="E678" s="184"/>
      <c r="F678" s="184"/>
      <c r="G678" s="184"/>
      <c r="H678" s="186"/>
      <c r="I678" s="186"/>
      <c r="J678" s="184"/>
      <c r="K678" s="184"/>
      <c r="L678" s="188"/>
    </row>
    <row r="679" spans="3:12" hidden="1" x14ac:dyDescent="0.25">
      <c r="C679" s="184"/>
      <c r="D679" s="184"/>
      <c r="E679" s="184"/>
      <c r="F679" s="186"/>
      <c r="G679" s="184"/>
      <c r="H679" s="186"/>
      <c r="I679" s="186"/>
      <c r="J679" s="184"/>
      <c r="K679" s="184"/>
      <c r="L679" s="188"/>
    </row>
    <row r="680" spans="3:12" hidden="1" x14ac:dyDescent="0.25">
      <c r="C680" s="184"/>
      <c r="D680" s="184"/>
      <c r="E680" s="184"/>
      <c r="F680" s="186"/>
      <c r="G680" s="184"/>
      <c r="H680" s="186"/>
      <c r="I680" s="186"/>
      <c r="J680" s="184"/>
      <c r="K680" s="184"/>
      <c r="L680" s="188"/>
    </row>
    <row r="681" spans="3:12" hidden="1" x14ac:dyDescent="0.25">
      <c r="C681" s="184"/>
      <c r="D681" s="184"/>
      <c r="E681" s="184"/>
      <c r="F681" s="186"/>
      <c r="G681" s="186"/>
      <c r="H681" s="186"/>
      <c r="I681" s="186"/>
      <c r="J681" s="184"/>
      <c r="K681" s="184"/>
      <c r="L681" s="188"/>
    </row>
    <row r="682" spans="3:12" hidden="1" x14ac:dyDescent="0.25">
      <c r="C682" s="184"/>
      <c r="D682" s="184"/>
      <c r="E682" s="184"/>
      <c r="F682" s="184"/>
      <c r="G682" s="184"/>
      <c r="H682" s="186"/>
      <c r="I682" s="186"/>
      <c r="J682" s="184"/>
      <c r="K682" s="184"/>
      <c r="L682" s="188"/>
    </row>
    <row r="683" spans="3:12" hidden="1" x14ac:dyDescent="0.25">
      <c r="C683" s="184"/>
      <c r="D683" s="184"/>
      <c r="E683" s="184"/>
      <c r="F683" s="186"/>
      <c r="G683" s="186"/>
      <c r="H683" s="186"/>
      <c r="I683" s="186"/>
      <c r="J683" s="184"/>
      <c r="K683" s="184"/>
      <c r="L683" s="188"/>
    </row>
    <row r="684" spans="3:12" hidden="1" x14ac:dyDescent="0.25">
      <c r="C684" s="184"/>
      <c r="D684" s="184"/>
      <c r="E684" s="184"/>
      <c r="F684" s="184"/>
      <c r="G684" s="186"/>
      <c r="H684" s="186"/>
      <c r="I684" s="186"/>
      <c r="J684" s="184"/>
      <c r="K684" s="184"/>
      <c r="L684" s="188"/>
    </row>
    <row r="685" spans="3:12" hidden="1" x14ac:dyDescent="0.25">
      <c r="C685" s="184"/>
      <c r="D685" s="184"/>
      <c r="E685" s="184"/>
      <c r="F685" s="186"/>
      <c r="G685" s="186"/>
      <c r="H685" s="186"/>
      <c r="I685" s="186"/>
      <c r="J685" s="184"/>
      <c r="K685" s="184"/>
      <c r="L685" s="188"/>
    </row>
    <row r="686" spans="3:12" hidden="1" x14ac:dyDescent="0.25">
      <c r="C686" s="184"/>
      <c r="D686" s="184"/>
      <c r="E686" s="184"/>
      <c r="F686" s="186"/>
      <c r="G686" s="186"/>
      <c r="H686" s="186"/>
      <c r="I686" s="186"/>
      <c r="J686" s="184"/>
      <c r="K686" s="184"/>
      <c r="L686" s="188"/>
    </row>
    <row r="687" spans="3:12" hidden="1" x14ac:dyDescent="0.25">
      <c r="C687" s="184"/>
      <c r="D687" s="184"/>
      <c r="E687" s="184"/>
      <c r="F687" s="186"/>
      <c r="G687" s="184"/>
      <c r="H687" s="186"/>
      <c r="I687" s="186"/>
      <c r="J687" s="184"/>
      <c r="K687" s="184"/>
      <c r="L687" s="188"/>
    </row>
    <row r="688" spans="3:12" hidden="1" x14ac:dyDescent="0.25">
      <c r="C688" s="184"/>
      <c r="D688" s="184"/>
      <c r="E688" s="184"/>
      <c r="F688" s="186"/>
      <c r="G688" s="184"/>
      <c r="H688" s="186"/>
      <c r="I688" s="186"/>
      <c r="J688" s="184"/>
      <c r="K688" s="184"/>
      <c r="L688" s="188"/>
    </row>
    <row r="689" spans="3:12" hidden="1" x14ac:dyDescent="0.25">
      <c r="C689" s="184"/>
      <c r="D689" s="184"/>
      <c r="E689" s="184"/>
      <c r="F689" s="186"/>
      <c r="G689" s="184"/>
      <c r="H689" s="186"/>
      <c r="I689" s="186"/>
      <c r="J689" s="184"/>
      <c r="K689" s="184"/>
      <c r="L689" s="188"/>
    </row>
    <row r="690" spans="3:12" hidden="1" x14ac:dyDescent="0.25">
      <c r="C690" s="184"/>
      <c r="D690" s="184"/>
      <c r="E690" s="184"/>
      <c r="F690" s="186"/>
      <c r="G690" s="184"/>
      <c r="H690" s="186"/>
      <c r="I690" s="186"/>
      <c r="J690" s="184"/>
      <c r="K690" s="184"/>
      <c r="L690" s="188"/>
    </row>
    <row r="691" spans="3:12" hidden="1" x14ac:dyDescent="0.25">
      <c r="C691" s="184"/>
      <c r="D691" s="184"/>
      <c r="E691" s="184"/>
      <c r="F691" s="186"/>
      <c r="G691" s="184"/>
      <c r="H691" s="186"/>
      <c r="I691" s="186"/>
      <c r="J691" s="184"/>
      <c r="K691" s="184"/>
      <c r="L691" s="188"/>
    </row>
    <row r="692" spans="3:12" hidden="1" x14ac:dyDescent="0.25">
      <c r="C692" s="184"/>
      <c r="D692" s="184"/>
      <c r="E692" s="184"/>
      <c r="F692" s="184"/>
      <c r="G692" s="184"/>
      <c r="H692" s="186"/>
      <c r="I692" s="186"/>
      <c r="J692" s="184"/>
      <c r="K692" s="184"/>
      <c r="L692" s="188"/>
    </row>
    <row r="693" spans="3:12" hidden="1" x14ac:dyDescent="0.25">
      <c r="C693" s="184"/>
      <c r="D693" s="184"/>
      <c r="E693" s="184"/>
      <c r="F693" s="186"/>
      <c r="G693" s="184"/>
      <c r="H693" s="186"/>
      <c r="I693" s="186"/>
      <c r="J693" s="184"/>
      <c r="K693" s="184"/>
      <c r="L693" s="188"/>
    </row>
    <row r="694" spans="3:12" hidden="1" x14ac:dyDescent="0.25">
      <c r="C694" s="184"/>
      <c r="D694" s="184"/>
      <c r="E694" s="184"/>
      <c r="F694" s="184"/>
      <c r="G694" s="184"/>
      <c r="H694" s="186"/>
      <c r="I694" s="186"/>
      <c r="J694" s="184"/>
      <c r="K694" s="184"/>
      <c r="L694" s="188" t="s">
        <v>188</v>
      </c>
    </row>
    <row r="695" spans="3:12" hidden="1" x14ac:dyDescent="0.25">
      <c r="C695" s="184"/>
      <c r="D695" s="184"/>
      <c r="E695" s="184"/>
      <c r="F695" s="184"/>
      <c r="G695" s="184"/>
      <c r="H695" s="186"/>
      <c r="I695" s="186"/>
      <c r="J695" s="184"/>
      <c r="K695" s="184"/>
      <c r="L695" s="188" t="s">
        <v>188</v>
      </c>
    </row>
    <row r="696" spans="3:12" hidden="1" x14ac:dyDescent="0.25">
      <c r="C696" s="184"/>
      <c r="D696" s="184"/>
      <c r="E696" s="184"/>
      <c r="F696" s="184"/>
      <c r="G696" s="184"/>
      <c r="H696" s="186"/>
      <c r="I696" s="186"/>
      <c r="J696" s="184"/>
      <c r="K696" s="184"/>
      <c r="L696" s="188"/>
    </row>
    <row r="697" spans="3:12" hidden="1" x14ac:dyDescent="0.25">
      <c r="C697" s="184"/>
      <c r="D697" s="184"/>
      <c r="E697" s="184"/>
      <c r="F697" s="186"/>
      <c r="G697" s="184"/>
      <c r="H697" s="186"/>
      <c r="I697" s="186"/>
      <c r="J697" s="184"/>
      <c r="K697" s="184"/>
      <c r="L697" s="188"/>
    </row>
    <row r="698" spans="3:12" hidden="1" x14ac:dyDescent="0.25">
      <c r="C698" s="184"/>
      <c r="D698" s="184"/>
      <c r="E698" s="184"/>
      <c r="F698" s="186"/>
      <c r="G698" s="184"/>
      <c r="H698" s="186"/>
      <c r="I698" s="186"/>
      <c r="J698" s="184"/>
      <c r="K698" s="184"/>
      <c r="L698" s="188"/>
    </row>
    <row r="699" spans="3:12" hidden="1" x14ac:dyDescent="0.25">
      <c r="C699" s="184"/>
      <c r="D699" s="184"/>
      <c r="E699" s="184"/>
      <c r="F699" s="186"/>
      <c r="G699" s="184"/>
      <c r="H699" s="186"/>
      <c r="I699" s="186"/>
      <c r="J699" s="184"/>
      <c r="K699" s="184"/>
      <c r="L699" s="188"/>
    </row>
    <row r="700" spans="3:12" hidden="1" x14ac:dyDescent="0.25">
      <c r="C700" s="184"/>
      <c r="D700" s="184"/>
      <c r="E700" s="184"/>
      <c r="F700" s="186"/>
      <c r="G700" s="184"/>
      <c r="H700" s="186"/>
      <c r="I700" s="186"/>
      <c r="J700" s="184"/>
      <c r="K700" s="184"/>
      <c r="L700" s="188"/>
    </row>
    <row r="701" spans="3:12" hidden="1" x14ac:dyDescent="0.25">
      <c r="C701" s="184"/>
      <c r="D701" s="184"/>
      <c r="E701" s="184"/>
      <c r="F701" s="186"/>
      <c r="G701" s="184"/>
      <c r="H701" s="186"/>
      <c r="I701" s="186"/>
      <c r="J701" s="184"/>
      <c r="K701" s="184"/>
      <c r="L701" s="188"/>
    </row>
    <row r="702" spans="3:12" hidden="1" x14ac:dyDescent="0.25">
      <c r="C702" s="184"/>
      <c r="D702" s="184"/>
      <c r="E702" s="184"/>
      <c r="F702" s="184"/>
      <c r="G702" s="184"/>
      <c r="H702" s="186"/>
      <c r="I702" s="186"/>
      <c r="J702" s="184"/>
      <c r="K702" s="184"/>
      <c r="L702" s="188"/>
    </row>
    <row r="703" spans="3:12" hidden="1" x14ac:dyDescent="0.25">
      <c r="C703" s="184"/>
      <c r="D703" s="184"/>
      <c r="E703" s="184"/>
      <c r="F703" s="186"/>
      <c r="G703" s="184"/>
      <c r="H703" s="186"/>
      <c r="I703" s="186"/>
      <c r="J703" s="184"/>
      <c r="K703" s="184"/>
      <c r="L703" s="188"/>
    </row>
    <row r="704" spans="3:12" hidden="1" x14ac:dyDescent="0.25">
      <c r="C704" s="184"/>
      <c r="D704" s="184"/>
      <c r="E704" s="184"/>
      <c r="F704" s="184"/>
      <c r="G704" s="184"/>
      <c r="H704" s="186"/>
      <c r="I704" s="186"/>
      <c r="J704" s="184"/>
      <c r="K704" s="184"/>
      <c r="L704" s="188"/>
    </row>
    <row r="705" spans="3:12" hidden="1" x14ac:dyDescent="0.25">
      <c r="C705" s="184"/>
      <c r="D705" s="184"/>
      <c r="E705" s="184"/>
      <c r="F705" s="184"/>
      <c r="G705" s="184"/>
      <c r="H705" s="186"/>
      <c r="I705" s="186"/>
      <c r="J705" s="184"/>
      <c r="K705" s="184"/>
      <c r="L705" s="188"/>
    </row>
    <row r="706" spans="3:12" hidden="1" x14ac:dyDescent="0.25">
      <c r="C706" s="184"/>
      <c r="D706" s="184"/>
      <c r="E706" s="184"/>
      <c r="F706" s="186"/>
      <c r="G706" s="184"/>
      <c r="H706" s="186"/>
      <c r="I706" s="186"/>
      <c r="J706" s="184"/>
      <c r="K706" s="184"/>
      <c r="L706" s="188"/>
    </row>
    <row r="707" spans="3:12" hidden="1" x14ac:dyDescent="0.25">
      <c r="C707" s="184"/>
      <c r="D707" s="184"/>
      <c r="E707" s="184"/>
      <c r="F707" s="184"/>
      <c r="G707" s="184"/>
      <c r="H707" s="186"/>
      <c r="I707" s="186"/>
      <c r="J707" s="184"/>
      <c r="K707" s="184"/>
      <c r="L707" s="188"/>
    </row>
    <row r="708" spans="3:12" hidden="1" x14ac:dyDescent="0.25">
      <c r="C708" s="184"/>
      <c r="D708" s="184"/>
      <c r="E708" s="184"/>
      <c r="F708" s="184"/>
      <c r="G708" s="184"/>
      <c r="H708" s="186"/>
      <c r="I708" s="186"/>
      <c r="J708" s="184"/>
      <c r="K708" s="184"/>
      <c r="L708" s="188"/>
    </row>
    <row r="709" spans="3:12" hidden="1" x14ac:dyDescent="0.25">
      <c r="C709" s="184"/>
      <c r="D709" s="184"/>
      <c r="E709" s="184"/>
      <c r="F709" s="184"/>
      <c r="G709" s="184"/>
      <c r="H709" s="186"/>
      <c r="I709" s="186"/>
      <c r="J709" s="184"/>
      <c r="K709" s="184"/>
      <c r="L709" s="188"/>
    </row>
    <row r="710" spans="3:12" hidden="1" x14ac:dyDescent="0.25">
      <c r="C710" s="184"/>
      <c r="D710" s="184"/>
      <c r="E710" s="184"/>
      <c r="F710" s="186"/>
      <c r="G710" s="184"/>
      <c r="H710" s="186"/>
      <c r="I710" s="186"/>
      <c r="J710" s="184"/>
      <c r="K710" s="184"/>
      <c r="L710" s="188"/>
    </row>
    <row r="711" spans="3:12" hidden="1" x14ac:dyDescent="0.25">
      <c r="C711" s="184"/>
      <c r="D711" s="184"/>
      <c r="E711" s="184"/>
      <c r="F711" s="186"/>
      <c r="G711" s="184"/>
      <c r="H711" s="186"/>
      <c r="I711" s="186"/>
      <c r="J711" s="184"/>
      <c r="K711" s="184"/>
      <c r="L711" s="188"/>
    </row>
    <row r="712" spans="3:12" hidden="1" x14ac:dyDescent="0.25">
      <c r="C712" s="184"/>
      <c r="D712" s="184"/>
      <c r="E712" s="184"/>
      <c r="F712" s="186"/>
      <c r="G712" s="184"/>
      <c r="H712" s="186"/>
      <c r="I712" s="186"/>
      <c r="J712" s="184"/>
      <c r="K712" s="184"/>
      <c r="L712" s="188"/>
    </row>
    <row r="713" spans="3:12" hidden="1" x14ac:dyDescent="0.25">
      <c r="C713" s="184"/>
      <c r="D713" s="184"/>
      <c r="E713" s="184"/>
      <c r="F713" s="186"/>
      <c r="G713" s="184"/>
      <c r="H713" s="186"/>
      <c r="I713" s="186"/>
      <c r="J713" s="184"/>
      <c r="K713" s="184"/>
      <c r="L713" s="188"/>
    </row>
    <row r="714" spans="3:12" hidden="1" x14ac:dyDescent="0.25">
      <c r="C714" s="184"/>
      <c r="D714" s="184"/>
      <c r="E714" s="184"/>
      <c r="F714" s="186"/>
      <c r="G714" s="184"/>
      <c r="H714" s="186"/>
      <c r="I714" s="186"/>
      <c r="J714" s="184"/>
      <c r="K714" s="184"/>
      <c r="L714" s="188"/>
    </row>
    <row r="715" spans="3:12" hidden="1" x14ac:dyDescent="0.25">
      <c r="C715" s="184"/>
      <c r="D715" s="184"/>
      <c r="E715" s="184"/>
      <c r="F715" s="186"/>
      <c r="G715" s="184"/>
      <c r="H715" s="186"/>
      <c r="I715" s="186"/>
      <c r="J715" s="184"/>
      <c r="K715" s="184"/>
      <c r="L715" s="188"/>
    </row>
    <row r="716" spans="3:12" hidden="1" x14ac:dyDescent="0.25">
      <c r="C716" s="184"/>
      <c r="D716" s="184"/>
      <c r="E716" s="184"/>
      <c r="F716" s="186"/>
      <c r="G716" s="184"/>
      <c r="H716" s="186"/>
      <c r="I716" s="186"/>
      <c r="J716" s="184"/>
      <c r="K716" s="184"/>
      <c r="L716" s="188"/>
    </row>
    <row r="717" spans="3:12" hidden="1" x14ac:dyDescent="0.25">
      <c r="C717" s="184"/>
      <c r="D717" s="184"/>
      <c r="E717" s="184"/>
      <c r="F717" s="186"/>
      <c r="G717" s="184"/>
      <c r="H717" s="186"/>
      <c r="I717" s="186"/>
      <c r="J717" s="184"/>
      <c r="K717" s="184"/>
      <c r="L717" s="188"/>
    </row>
    <row r="718" spans="3:12" hidden="1" x14ac:dyDescent="0.25">
      <c r="C718" s="184"/>
      <c r="D718" s="184"/>
      <c r="E718" s="184"/>
      <c r="F718" s="184"/>
      <c r="G718" s="184"/>
      <c r="H718" s="186"/>
      <c r="I718" s="186"/>
      <c r="J718" s="184"/>
      <c r="K718" s="184"/>
      <c r="L718" s="188"/>
    </row>
    <row r="719" spans="3:12" hidden="1" x14ac:dyDescent="0.25">
      <c r="C719" s="184"/>
      <c r="D719" s="184"/>
      <c r="E719" s="184"/>
      <c r="F719" s="184"/>
      <c r="G719" s="184"/>
      <c r="H719" s="186"/>
      <c r="I719" s="186"/>
      <c r="J719" s="184"/>
      <c r="K719" s="184"/>
      <c r="L719" s="188"/>
    </row>
    <row r="720" spans="3:12" hidden="1" x14ac:dyDescent="0.25">
      <c r="C720" s="184"/>
      <c r="D720" s="184"/>
      <c r="E720" s="184"/>
      <c r="F720" s="186"/>
      <c r="G720" s="184"/>
      <c r="H720" s="186"/>
      <c r="I720" s="186"/>
      <c r="J720" s="184"/>
      <c r="K720" s="184"/>
      <c r="L720" s="188"/>
    </row>
    <row r="721" spans="3:12" hidden="1" x14ac:dyDescent="0.25">
      <c r="C721" s="184"/>
      <c r="D721" s="184"/>
      <c r="E721" s="184"/>
      <c r="F721" s="186"/>
      <c r="G721" s="184"/>
      <c r="H721" s="186"/>
      <c r="I721" s="186"/>
      <c r="J721" s="184"/>
      <c r="K721" s="184"/>
      <c r="L721" s="188"/>
    </row>
    <row r="722" spans="3:12" hidden="1" x14ac:dyDescent="0.25">
      <c r="C722" s="184"/>
      <c r="D722" s="184"/>
      <c r="E722" s="184"/>
      <c r="F722" s="186"/>
      <c r="G722" s="184"/>
      <c r="H722" s="186"/>
      <c r="I722" s="186"/>
      <c r="J722" s="184"/>
      <c r="K722" s="184"/>
      <c r="L722" s="188"/>
    </row>
    <row r="723" spans="3:12" hidden="1" x14ac:dyDescent="0.25">
      <c r="C723" s="184"/>
      <c r="D723" s="184"/>
      <c r="E723" s="184"/>
      <c r="F723" s="186"/>
      <c r="G723" s="184"/>
      <c r="H723" s="186"/>
      <c r="I723" s="186"/>
      <c r="J723" s="184"/>
      <c r="K723" s="184"/>
      <c r="L723" s="188"/>
    </row>
    <row r="724" spans="3:12" hidden="1" x14ac:dyDescent="0.25">
      <c r="C724" s="184"/>
      <c r="D724" s="184"/>
      <c r="E724" s="184"/>
      <c r="F724" s="186"/>
      <c r="G724" s="184"/>
      <c r="H724" s="186"/>
      <c r="I724" s="186"/>
      <c r="J724" s="184"/>
      <c r="K724" s="184"/>
      <c r="L724" s="188"/>
    </row>
    <row r="725" spans="3:12" hidden="1" x14ac:dyDescent="0.25">
      <c r="C725" s="184"/>
      <c r="D725" s="184"/>
      <c r="E725" s="184"/>
      <c r="F725" s="186"/>
      <c r="G725" s="184"/>
      <c r="H725" s="186"/>
      <c r="I725" s="184"/>
      <c r="J725" s="184"/>
      <c r="K725" s="184"/>
      <c r="L725" s="188"/>
    </row>
    <row r="726" spans="3:12" hidden="1" x14ac:dyDescent="0.25">
      <c r="C726" s="184"/>
      <c r="D726" s="184"/>
      <c r="E726" s="184"/>
      <c r="F726" s="186"/>
      <c r="G726" s="184"/>
      <c r="H726" s="186"/>
      <c r="I726" s="186"/>
      <c r="J726" s="184"/>
      <c r="K726" s="184"/>
      <c r="L726" s="188"/>
    </row>
    <row r="727" spans="3:12" hidden="1" x14ac:dyDescent="0.25">
      <c r="C727" s="184"/>
      <c r="D727" s="184"/>
      <c r="E727" s="184"/>
      <c r="F727" s="186"/>
      <c r="G727" s="184"/>
      <c r="H727" s="186"/>
      <c r="I727" s="186"/>
      <c r="J727" s="184"/>
      <c r="K727" s="184"/>
      <c r="L727" s="188"/>
    </row>
    <row r="728" spans="3:12" hidden="1" x14ac:dyDescent="0.25">
      <c r="C728" s="184"/>
      <c r="D728" s="184"/>
      <c r="E728" s="184"/>
      <c r="F728" s="186"/>
      <c r="G728" s="184"/>
      <c r="H728" s="186"/>
      <c r="I728" s="186"/>
      <c r="J728" s="184"/>
      <c r="K728" s="184"/>
      <c r="L728" s="188"/>
    </row>
    <row r="729" spans="3:12" hidden="1" x14ac:dyDescent="0.25">
      <c r="C729" s="184"/>
      <c r="D729" s="184"/>
      <c r="E729" s="184"/>
      <c r="F729" s="184"/>
      <c r="G729" s="184"/>
      <c r="H729" s="186"/>
      <c r="I729" s="186"/>
      <c r="J729" s="184"/>
      <c r="K729" s="184"/>
      <c r="L729" s="188"/>
    </row>
    <row r="730" spans="3:12" hidden="1" x14ac:dyDescent="0.25">
      <c r="C730" s="184"/>
      <c r="D730" s="184"/>
      <c r="E730" s="184"/>
      <c r="F730" s="186"/>
      <c r="G730" s="184"/>
      <c r="H730" s="186"/>
      <c r="I730" s="186"/>
      <c r="J730" s="184"/>
      <c r="K730" s="184"/>
      <c r="L730" s="188"/>
    </row>
    <row r="731" spans="3:12" hidden="1" x14ac:dyDescent="0.25">
      <c r="C731" s="184"/>
      <c r="D731" s="184"/>
      <c r="E731" s="184"/>
      <c r="F731" s="184"/>
      <c r="G731" s="184"/>
      <c r="H731" s="186"/>
      <c r="I731" s="186"/>
      <c r="J731" s="184"/>
      <c r="K731" s="184"/>
      <c r="L731" s="188"/>
    </row>
    <row r="732" spans="3:12" hidden="1" x14ac:dyDescent="0.25">
      <c r="C732" s="184"/>
      <c r="D732" s="184"/>
      <c r="E732" s="184"/>
      <c r="F732" s="184"/>
      <c r="G732" s="184"/>
      <c r="H732" s="186"/>
      <c r="I732" s="186"/>
      <c r="J732" s="184"/>
      <c r="K732" s="184"/>
      <c r="L732" s="188" t="s">
        <v>188</v>
      </c>
    </row>
    <row r="733" spans="3:12" hidden="1" x14ac:dyDescent="0.25">
      <c r="C733" s="184"/>
      <c r="D733" s="184"/>
      <c r="E733" s="184"/>
      <c r="F733" s="184"/>
      <c r="G733" s="184"/>
      <c r="H733" s="186"/>
      <c r="I733" s="186"/>
      <c r="J733" s="184"/>
      <c r="K733" s="184"/>
      <c r="L733" s="188"/>
    </row>
    <row r="734" spans="3:12" hidden="1" x14ac:dyDescent="0.25">
      <c r="C734" s="184"/>
      <c r="D734" s="184"/>
      <c r="E734" s="184"/>
      <c r="F734" s="186"/>
      <c r="G734" s="184"/>
      <c r="H734" s="186"/>
      <c r="I734" s="186"/>
      <c r="J734" s="184"/>
      <c r="K734" s="184"/>
      <c r="L734" s="188"/>
    </row>
    <row r="735" spans="3:12" hidden="1" x14ac:dyDescent="0.25">
      <c r="C735" s="184"/>
      <c r="D735" s="184"/>
      <c r="E735" s="184"/>
      <c r="F735" s="186"/>
      <c r="G735" s="184"/>
      <c r="H735" s="186"/>
      <c r="I735" s="186"/>
      <c r="J735" s="184"/>
      <c r="K735" s="184"/>
      <c r="L735" s="188"/>
    </row>
    <row r="736" spans="3:12" hidden="1" x14ac:dyDescent="0.25">
      <c r="C736" s="184"/>
      <c r="D736" s="184"/>
      <c r="E736" s="184"/>
      <c r="F736" s="186"/>
      <c r="G736" s="184"/>
      <c r="H736" s="186"/>
      <c r="I736" s="186"/>
      <c r="J736" s="184"/>
      <c r="K736" s="184"/>
      <c r="L736" s="188"/>
    </row>
    <row r="737" spans="3:12" hidden="1" x14ac:dyDescent="0.25">
      <c r="C737" s="184"/>
      <c r="D737" s="184"/>
      <c r="E737" s="184"/>
      <c r="F737" s="186"/>
      <c r="G737" s="184"/>
      <c r="H737" s="186"/>
      <c r="I737" s="186"/>
      <c r="J737" s="184"/>
      <c r="K737" s="184"/>
      <c r="L737" s="188"/>
    </row>
    <row r="738" spans="3:12" hidden="1" x14ac:dyDescent="0.25">
      <c r="C738" s="184"/>
      <c r="D738" s="184"/>
      <c r="E738" s="184"/>
      <c r="F738" s="186"/>
      <c r="G738" s="184"/>
      <c r="H738" s="186"/>
      <c r="I738" s="186"/>
      <c r="J738" s="184"/>
      <c r="K738" s="184"/>
      <c r="L738" s="188"/>
    </row>
    <row r="739" spans="3:12" hidden="1" x14ac:dyDescent="0.25">
      <c r="C739" s="184"/>
      <c r="D739" s="184"/>
      <c r="E739" s="184"/>
      <c r="F739" s="186"/>
      <c r="G739" s="184"/>
      <c r="H739" s="186"/>
      <c r="I739" s="186"/>
      <c r="J739" s="184"/>
      <c r="K739" s="184"/>
      <c r="L739" s="188"/>
    </row>
    <row r="740" spans="3:12" hidden="1" x14ac:dyDescent="0.25">
      <c r="C740" s="184"/>
      <c r="D740" s="184"/>
      <c r="E740" s="184"/>
      <c r="F740" s="186"/>
      <c r="G740" s="184"/>
      <c r="H740" s="186"/>
      <c r="I740" s="186"/>
      <c r="J740" s="184"/>
      <c r="K740" s="184"/>
      <c r="L740" s="188"/>
    </row>
    <row r="741" spans="3:12" hidden="1" x14ac:dyDescent="0.25">
      <c r="C741" s="184"/>
      <c r="D741" s="184"/>
      <c r="E741" s="184"/>
      <c r="F741" s="186"/>
      <c r="G741" s="184"/>
      <c r="H741" s="186"/>
      <c r="I741" s="186"/>
      <c r="J741" s="184"/>
      <c r="K741" s="184"/>
      <c r="L741" s="188"/>
    </row>
    <row r="742" spans="3:12" hidden="1" x14ac:dyDescent="0.25">
      <c r="C742" s="184"/>
      <c r="D742" s="184"/>
      <c r="E742" s="184"/>
      <c r="F742" s="184"/>
      <c r="G742" s="184"/>
      <c r="H742" s="186"/>
      <c r="I742" s="186"/>
      <c r="J742" s="184"/>
      <c r="K742" s="184"/>
      <c r="L742" s="188"/>
    </row>
    <row r="743" spans="3:12" hidden="1" x14ac:dyDescent="0.25">
      <c r="C743" s="185"/>
      <c r="D743" s="185"/>
      <c r="E743" s="185"/>
      <c r="F743" s="187"/>
      <c r="G743" s="185"/>
      <c r="H743" s="187"/>
      <c r="I743" s="187"/>
      <c r="J743" s="185"/>
      <c r="K743" s="185"/>
      <c r="L743" s="188" t="s">
        <v>188</v>
      </c>
    </row>
    <row r="744" spans="3:12" hidden="1" x14ac:dyDescent="0.25">
      <c r="C744" s="188"/>
      <c r="D744" s="188"/>
      <c r="E744" s="188"/>
      <c r="F744" s="188"/>
      <c r="G744" s="188"/>
      <c r="H744" s="190"/>
      <c r="I744" s="190"/>
      <c r="J744" s="188"/>
      <c r="K744" s="188"/>
      <c r="L744" s="188"/>
    </row>
    <row r="745" spans="3:12" hidden="1" x14ac:dyDescent="0.25">
      <c r="C745" s="188"/>
      <c r="D745" s="188"/>
      <c r="E745" s="188"/>
      <c r="F745" s="188"/>
      <c r="G745" s="188"/>
      <c r="H745" s="190"/>
      <c r="I745" s="190"/>
      <c r="J745" s="188"/>
      <c r="K745" s="188"/>
      <c r="L745" s="188"/>
    </row>
    <row r="746" spans="3:12" hidden="1" x14ac:dyDescent="0.25">
      <c r="C746" s="188"/>
      <c r="D746" s="188"/>
      <c r="E746" s="188"/>
      <c r="F746" s="188"/>
      <c r="G746" s="188"/>
      <c r="H746" s="190"/>
      <c r="I746" s="190"/>
      <c r="J746" s="188"/>
      <c r="K746" s="188"/>
      <c r="L746" s="188"/>
    </row>
    <row r="747" spans="3:12" hidden="1" x14ac:dyDescent="0.25">
      <c r="C747" s="188"/>
      <c r="D747" s="188"/>
      <c r="E747" s="188"/>
      <c r="F747" s="190"/>
      <c r="G747" s="188"/>
      <c r="H747" s="190"/>
      <c r="I747" s="190"/>
      <c r="J747" s="188"/>
      <c r="K747" s="188"/>
      <c r="L747" s="188"/>
    </row>
    <row r="748" spans="3:12" hidden="1" x14ac:dyDescent="0.25">
      <c r="C748" s="188"/>
      <c r="D748" s="188"/>
      <c r="E748" s="188"/>
      <c r="F748" s="190"/>
      <c r="G748" s="188"/>
      <c r="H748" s="190"/>
      <c r="I748" s="190"/>
      <c r="J748" s="188"/>
      <c r="K748" s="188"/>
      <c r="L748" s="188" t="s">
        <v>188</v>
      </c>
    </row>
    <row r="749" spans="3:12" hidden="1" x14ac:dyDescent="0.25">
      <c r="C749" s="188"/>
      <c r="D749" s="188"/>
      <c r="E749" s="188"/>
      <c r="F749" s="190"/>
      <c r="G749" s="188"/>
      <c r="H749" s="190"/>
      <c r="I749" s="190"/>
      <c r="J749" s="188"/>
      <c r="K749" s="188"/>
      <c r="L749" s="188"/>
    </row>
    <row r="750" spans="3:12" hidden="1" x14ac:dyDescent="0.25">
      <c r="C750" s="188"/>
      <c r="D750" s="188"/>
      <c r="E750" s="188"/>
      <c r="F750" s="190"/>
      <c r="G750" s="188"/>
      <c r="H750" s="190"/>
      <c r="I750" s="190"/>
      <c r="J750" s="188"/>
      <c r="K750" s="188"/>
      <c r="L750" s="188"/>
    </row>
    <row r="751" spans="3:12" hidden="1" x14ac:dyDescent="0.25">
      <c r="C751" s="188"/>
      <c r="D751" s="188"/>
      <c r="E751" s="188"/>
      <c r="F751" s="188"/>
      <c r="G751" s="188"/>
      <c r="H751" s="190"/>
      <c r="I751" s="190"/>
      <c r="J751" s="188"/>
      <c r="K751" s="188"/>
      <c r="L751" s="188"/>
    </row>
    <row r="752" spans="3:12" hidden="1" x14ac:dyDescent="0.25">
      <c r="C752" s="188"/>
      <c r="D752" s="188"/>
      <c r="E752" s="188"/>
      <c r="F752" s="188"/>
      <c r="G752" s="188"/>
      <c r="H752" s="190"/>
      <c r="I752" s="190"/>
      <c r="J752" s="188"/>
      <c r="K752" s="188"/>
      <c r="L752" s="188"/>
    </row>
    <row r="753" spans="3:12" hidden="1" x14ac:dyDescent="0.25">
      <c r="C753" s="188"/>
      <c r="D753" s="188"/>
      <c r="E753" s="188"/>
      <c r="F753" s="188"/>
      <c r="G753" s="188"/>
      <c r="H753" s="190"/>
      <c r="I753" s="190"/>
      <c r="J753" s="188"/>
      <c r="K753" s="188"/>
      <c r="L753" s="188"/>
    </row>
    <row r="754" spans="3:12" hidden="1" x14ac:dyDescent="0.25">
      <c r="C754" s="188"/>
      <c r="D754" s="188"/>
      <c r="E754" s="188"/>
      <c r="F754" s="188"/>
      <c r="G754" s="188"/>
      <c r="H754" s="190"/>
      <c r="I754" s="190"/>
      <c r="J754" s="188"/>
      <c r="K754" s="188"/>
      <c r="L754" s="188"/>
    </row>
    <row r="755" spans="3:12" hidden="1" x14ac:dyDescent="0.25">
      <c r="C755" s="188"/>
      <c r="D755" s="188"/>
      <c r="E755" s="188"/>
      <c r="F755" s="190"/>
      <c r="G755" s="188"/>
      <c r="H755" s="190"/>
      <c r="I755" s="190"/>
      <c r="J755" s="188"/>
      <c r="K755" s="188"/>
      <c r="L755" s="188"/>
    </row>
    <row r="756" spans="3:12" hidden="1" x14ac:dyDescent="0.25">
      <c r="C756" s="188"/>
      <c r="D756" s="188"/>
      <c r="E756" s="188"/>
      <c r="F756" s="188"/>
      <c r="G756" s="188"/>
      <c r="H756" s="190"/>
      <c r="I756" s="190"/>
      <c r="J756" s="188"/>
      <c r="K756" s="188"/>
      <c r="L756" s="188"/>
    </row>
    <row r="757" spans="3:12" hidden="1" x14ac:dyDescent="0.25">
      <c r="C757" s="188"/>
      <c r="D757" s="188"/>
      <c r="E757" s="188"/>
      <c r="F757" s="188"/>
      <c r="G757" s="188"/>
      <c r="H757" s="190"/>
      <c r="I757" s="190"/>
      <c r="J757" s="188"/>
      <c r="K757" s="188"/>
      <c r="L757" s="188"/>
    </row>
    <row r="758" spans="3:12" hidden="1" x14ac:dyDescent="0.25">
      <c r="C758" s="188"/>
      <c r="D758" s="188"/>
      <c r="E758" s="188"/>
      <c r="F758" s="190"/>
      <c r="G758" s="188"/>
      <c r="H758" s="190"/>
      <c r="I758" s="190"/>
      <c r="J758" s="188"/>
      <c r="K758" s="188"/>
      <c r="L758" s="188"/>
    </row>
    <row r="759" spans="3:12" hidden="1" x14ac:dyDescent="0.25">
      <c r="C759" s="188"/>
      <c r="D759" s="188"/>
      <c r="E759" s="188"/>
      <c r="F759" s="188"/>
      <c r="G759" s="188"/>
      <c r="H759" s="190"/>
      <c r="I759" s="190"/>
      <c r="J759" s="188"/>
      <c r="K759" s="188"/>
      <c r="L759" s="188"/>
    </row>
    <row r="760" spans="3:12" hidden="1" x14ac:dyDescent="0.25">
      <c r="C760" s="188"/>
      <c r="D760" s="188"/>
      <c r="E760" s="188"/>
      <c r="F760" s="190"/>
      <c r="G760" s="188"/>
      <c r="H760" s="190"/>
      <c r="I760" s="190"/>
      <c r="J760" s="188"/>
      <c r="K760" s="188"/>
      <c r="L760" s="188"/>
    </row>
    <row r="761" spans="3:12" hidden="1" x14ac:dyDescent="0.25">
      <c r="C761" s="188"/>
      <c r="D761" s="188"/>
      <c r="E761" s="188"/>
      <c r="F761" s="190"/>
      <c r="G761" s="188"/>
      <c r="H761" s="190"/>
      <c r="I761" s="190"/>
      <c r="J761" s="188"/>
      <c r="K761" s="188"/>
      <c r="L761" s="188"/>
    </row>
    <row r="762" spans="3:12" hidden="1" x14ac:dyDescent="0.25">
      <c r="C762" s="188"/>
      <c r="D762" s="188"/>
      <c r="E762" s="188"/>
      <c r="F762" s="188"/>
      <c r="G762" s="188"/>
      <c r="H762" s="190"/>
      <c r="I762" s="190"/>
      <c r="J762" s="188"/>
      <c r="K762" s="188"/>
      <c r="L762" s="188"/>
    </row>
    <row r="763" spans="3:12" hidden="1" x14ac:dyDescent="0.25">
      <c r="C763" s="188"/>
      <c r="D763" s="188"/>
      <c r="E763" s="188"/>
      <c r="F763" s="190"/>
      <c r="G763" s="188"/>
      <c r="H763" s="190"/>
      <c r="I763" s="190"/>
      <c r="J763" s="188"/>
      <c r="K763" s="188"/>
      <c r="L763" s="188"/>
    </row>
    <row r="764" spans="3:12" hidden="1" x14ac:dyDescent="0.25">
      <c r="C764" s="188"/>
      <c r="D764" s="188"/>
      <c r="E764" s="188"/>
      <c r="F764" s="190"/>
      <c r="G764" s="188"/>
      <c r="H764" s="190"/>
      <c r="I764" s="190"/>
      <c r="J764" s="188"/>
      <c r="K764" s="188"/>
      <c r="L764" s="188"/>
    </row>
    <row r="765" spans="3:12" hidden="1" x14ac:dyDescent="0.25">
      <c r="C765" s="188"/>
      <c r="D765" s="188"/>
      <c r="E765" s="188"/>
      <c r="F765" s="190"/>
      <c r="G765" s="188"/>
      <c r="H765" s="190"/>
      <c r="I765" s="190"/>
      <c r="J765" s="188"/>
      <c r="K765" s="188"/>
      <c r="L765" s="188"/>
    </row>
    <row r="766" spans="3:12" hidden="1" x14ac:dyDescent="0.25">
      <c r="C766" s="188"/>
      <c r="D766" s="188"/>
      <c r="E766" s="188"/>
      <c r="F766" s="188"/>
      <c r="G766" s="188"/>
      <c r="H766" s="190"/>
      <c r="I766" s="190"/>
      <c r="J766" s="188"/>
      <c r="K766" s="188"/>
      <c r="L766" s="188"/>
    </row>
    <row r="767" spans="3:12" hidden="1" x14ac:dyDescent="0.25">
      <c r="C767" s="188"/>
      <c r="D767" s="188"/>
      <c r="E767" s="188"/>
      <c r="F767" s="188"/>
      <c r="G767" s="188"/>
      <c r="H767" s="190"/>
      <c r="I767" s="190"/>
      <c r="J767" s="188"/>
      <c r="K767" s="188"/>
      <c r="L767" s="188"/>
    </row>
    <row r="768" spans="3:12" hidden="1" x14ac:dyDescent="0.25">
      <c r="C768" s="188"/>
      <c r="D768" s="188"/>
      <c r="E768" s="188"/>
      <c r="F768" s="188"/>
      <c r="G768" s="188"/>
      <c r="H768" s="190"/>
      <c r="I768" s="190"/>
      <c r="J768" s="188"/>
      <c r="K768" s="188"/>
      <c r="L768" s="188"/>
    </row>
    <row r="769" spans="3:12" hidden="1" x14ac:dyDescent="0.25">
      <c r="C769" s="188"/>
      <c r="D769" s="188"/>
      <c r="E769" s="188"/>
      <c r="F769" s="188"/>
      <c r="G769" s="188"/>
      <c r="H769" s="190"/>
      <c r="I769" s="190"/>
      <c r="J769" s="188"/>
      <c r="K769" s="188"/>
      <c r="L769" s="188"/>
    </row>
    <row r="770" spans="3:12" hidden="1" x14ac:dyDescent="0.25">
      <c r="C770" s="188"/>
      <c r="D770" s="188"/>
      <c r="E770" s="188"/>
      <c r="F770" s="188"/>
      <c r="G770" s="188"/>
      <c r="H770" s="190"/>
      <c r="I770" s="190"/>
      <c r="J770" s="188"/>
      <c r="K770" s="188"/>
      <c r="L770" s="188"/>
    </row>
    <row r="771" spans="3:12" hidden="1" x14ac:dyDescent="0.25">
      <c r="C771" s="188"/>
      <c r="D771" s="188"/>
      <c r="E771" s="188"/>
      <c r="F771" s="190"/>
      <c r="G771" s="188"/>
      <c r="H771" s="190"/>
      <c r="I771" s="190"/>
      <c r="J771" s="188"/>
      <c r="K771" s="188"/>
      <c r="L771" s="188"/>
    </row>
    <row r="772" spans="3:12" hidden="1" x14ac:dyDescent="0.25">
      <c r="C772" s="188"/>
      <c r="D772" s="188"/>
      <c r="E772" s="188"/>
      <c r="F772" s="190"/>
      <c r="G772" s="188"/>
      <c r="H772" s="190"/>
      <c r="I772" s="190"/>
      <c r="J772" s="188"/>
      <c r="K772" s="188"/>
      <c r="L772" s="188"/>
    </row>
    <row r="773" spans="3:12" hidden="1" x14ac:dyDescent="0.25">
      <c r="C773" s="188"/>
      <c r="D773" s="188"/>
      <c r="E773" s="188"/>
      <c r="F773" s="190"/>
      <c r="G773" s="188"/>
      <c r="H773" s="190"/>
      <c r="I773" s="190"/>
      <c r="J773" s="188"/>
      <c r="K773" s="188"/>
      <c r="L773" s="188"/>
    </row>
    <row r="774" spans="3:12" hidden="1" x14ac:dyDescent="0.25">
      <c r="C774" s="188"/>
      <c r="D774" s="188"/>
      <c r="E774" s="188"/>
      <c r="F774" s="190"/>
      <c r="G774" s="188"/>
      <c r="H774" s="190"/>
      <c r="I774" s="190"/>
      <c r="J774" s="188"/>
      <c r="K774" s="188"/>
      <c r="L774" s="188"/>
    </row>
    <row r="775" spans="3:12" hidden="1" x14ac:dyDescent="0.25">
      <c r="C775" s="188"/>
      <c r="D775" s="188"/>
      <c r="E775" s="188"/>
      <c r="F775" s="190"/>
      <c r="G775" s="188"/>
      <c r="H775" s="190"/>
      <c r="I775" s="190"/>
      <c r="J775" s="188"/>
      <c r="K775" s="188"/>
      <c r="L775" s="188"/>
    </row>
    <row r="776" spans="3:12" hidden="1" x14ac:dyDescent="0.25">
      <c r="C776" s="188"/>
      <c r="D776" s="188"/>
      <c r="E776" s="188"/>
      <c r="F776" s="190"/>
      <c r="G776" s="188"/>
      <c r="H776" s="190"/>
      <c r="I776" s="190"/>
      <c r="J776" s="188"/>
      <c r="K776" s="188"/>
      <c r="L776" s="188"/>
    </row>
    <row r="777" spans="3:12" hidden="1" x14ac:dyDescent="0.25">
      <c r="C777" s="188"/>
      <c r="D777" s="188"/>
      <c r="E777" s="188"/>
      <c r="F777" s="190"/>
      <c r="G777" s="188"/>
      <c r="H777" s="190"/>
      <c r="I777" s="190"/>
      <c r="J777" s="188"/>
      <c r="K777" s="188"/>
      <c r="L777" s="188"/>
    </row>
    <row r="778" spans="3:12" hidden="1" x14ac:dyDescent="0.25">
      <c r="C778" s="188"/>
      <c r="D778" s="188"/>
      <c r="E778" s="188"/>
      <c r="F778" s="190"/>
      <c r="G778" s="188"/>
      <c r="H778" s="190"/>
      <c r="I778" s="190"/>
      <c r="J778" s="188"/>
      <c r="K778" s="188"/>
      <c r="L778" s="188"/>
    </row>
    <row r="779" spans="3:12" hidden="1" x14ac:dyDescent="0.25">
      <c r="C779" s="188"/>
      <c r="D779" s="188"/>
      <c r="E779" s="188"/>
      <c r="F779" s="190"/>
      <c r="G779" s="188"/>
      <c r="H779" s="190"/>
      <c r="I779" s="190"/>
      <c r="J779" s="188"/>
      <c r="K779" s="188"/>
      <c r="L779" s="188"/>
    </row>
    <row r="780" spans="3:12" hidden="1" x14ac:dyDescent="0.25">
      <c r="C780" s="188"/>
      <c r="D780" s="188"/>
      <c r="E780" s="188"/>
      <c r="F780" s="190"/>
      <c r="G780" s="188"/>
      <c r="H780" s="190"/>
      <c r="I780" s="190"/>
      <c r="J780" s="188"/>
      <c r="K780" s="188"/>
      <c r="L780" s="188"/>
    </row>
    <row r="781" spans="3:12" hidden="1" x14ac:dyDescent="0.25">
      <c r="C781" s="188"/>
      <c r="D781" s="188"/>
      <c r="E781" s="188"/>
      <c r="F781" s="190"/>
      <c r="G781" s="188"/>
      <c r="H781" s="190"/>
      <c r="I781" s="190"/>
      <c r="J781" s="188"/>
      <c r="K781" s="188"/>
      <c r="L781" s="188"/>
    </row>
    <row r="782" spans="3:12" hidden="1" x14ac:dyDescent="0.25">
      <c r="C782" s="188"/>
      <c r="D782" s="188"/>
      <c r="E782" s="188"/>
      <c r="F782" s="190"/>
      <c r="G782" s="188"/>
      <c r="H782" s="190"/>
      <c r="I782" s="190"/>
      <c r="J782" s="188"/>
      <c r="K782" s="188"/>
      <c r="L782" s="188"/>
    </row>
    <row r="783" spans="3:12" hidden="1" x14ac:dyDescent="0.25">
      <c r="C783" s="188"/>
      <c r="D783" s="188"/>
      <c r="E783" s="188"/>
      <c r="F783" s="188"/>
      <c r="G783" s="188"/>
      <c r="H783" s="190"/>
      <c r="I783" s="190"/>
      <c r="J783" s="188"/>
      <c r="K783" s="188"/>
      <c r="L783" s="188"/>
    </row>
    <row r="784" spans="3:12" hidden="1" x14ac:dyDescent="0.25">
      <c r="C784" s="188"/>
      <c r="D784" s="188"/>
      <c r="E784" s="188"/>
      <c r="F784" s="190"/>
      <c r="G784" s="188"/>
      <c r="H784" s="190"/>
      <c r="I784" s="190"/>
      <c r="J784" s="188"/>
      <c r="K784" s="188"/>
      <c r="L784" s="188"/>
    </row>
    <row r="785" spans="3:12" hidden="1" x14ac:dyDescent="0.25">
      <c r="C785" s="188"/>
      <c r="D785" s="188"/>
      <c r="E785" s="188"/>
      <c r="F785" s="188"/>
      <c r="G785" s="188"/>
      <c r="H785" s="190"/>
      <c r="I785" s="190"/>
      <c r="J785" s="188"/>
      <c r="K785" s="188"/>
      <c r="L785" s="188"/>
    </row>
    <row r="786" spans="3:12" hidden="1" x14ac:dyDescent="0.25">
      <c r="C786" s="188"/>
      <c r="D786" s="188"/>
      <c r="E786" s="188"/>
      <c r="F786" s="190"/>
      <c r="G786" s="188"/>
      <c r="H786" s="190"/>
      <c r="I786" s="190"/>
      <c r="J786" s="188"/>
      <c r="K786" s="188"/>
      <c r="L786" s="188"/>
    </row>
    <row r="787" spans="3:12" hidden="1" x14ac:dyDescent="0.25">
      <c r="C787" s="188"/>
      <c r="D787" s="188"/>
      <c r="E787" s="188"/>
      <c r="F787" s="190"/>
      <c r="G787" s="188"/>
      <c r="H787" s="190"/>
      <c r="I787" s="190"/>
      <c r="J787" s="188"/>
      <c r="K787" s="188"/>
      <c r="L787" s="188"/>
    </row>
    <row r="788" spans="3:12" hidden="1" x14ac:dyDescent="0.25">
      <c r="C788" s="188"/>
      <c r="D788" s="188"/>
      <c r="E788" s="188"/>
      <c r="F788" s="190"/>
      <c r="G788" s="188"/>
      <c r="H788" s="190"/>
      <c r="I788" s="190"/>
      <c r="J788" s="188"/>
      <c r="K788" s="188"/>
      <c r="L788" s="188"/>
    </row>
    <row r="789" spans="3:12" hidden="1" x14ac:dyDescent="0.25">
      <c r="C789" s="188"/>
      <c r="D789" s="188"/>
      <c r="E789" s="188"/>
      <c r="F789" s="188"/>
      <c r="G789" s="188"/>
      <c r="H789" s="190"/>
      <c r="I789" s="190"/>
      <c r="J789" s="188"/>
      <c r="K789" s="188"/>
      <c r="L789" s="188"/>
    </row>
    <row r="790" spans="3:12" hidden="1" x14ac:dyDescent="0.25">
      <c r="C790" s="188"/>
      <c r="D790" s="188"/>
      <c r="E790" s="188"/>
      <c r="F790" s="188"/>
      <c r="G790" s="188"/>
      <c r="H790" s="190"/>
      <c r="I790" s="190"/>
      <c r="J790" s="188"/>
      <c r="K790" s="188"/>
      <c r="L790" s="188"/>
    </row>
    <row r="791" spans="3:12" ht="30" hidden="1" x14ac:dyDescent="0.25">
      <c r="C791" s="188"/>
      <c r="D791" s="188"/>
      <c r="E791" s="188"/>
      <c r="F791" s="190"/>
      <c r="G791" s="188"/>
      <c r="H791" s="190"/>
      <c r="I791" s="190"/>
      <c r="J791" s="188"/>
      <c r="K791" s="188"/>
      <c r="L791" s="188" t="s">
        <v>189</v>
      </c>
    </row>
    <row r="792" spans="3:12" hidden="1" x14ac:dyDescent="0.25">
      <c r="C792" s="188"/>
      <c r="D792" s="188"/>
      <c r="E792" s="188"/>
      <c r="F792" s="188"/>
      <c r="G792" s="188"/>
      <c r="H792" s="190"/>
      <c r="I792" s="190"/>
      <c r="J792" s="188"/>
      <c r="K792" s="188"/>
      <c r="L792" s="188"/>
    </row>
    <row r="793" spans="3:12" hidden="1" x14ac:dyDescent="0.25">
      <c r="C793" s="188"/>
      <c r="D793" s="188"/>
      <c r="E793" s="188"/>
      <c r="F793" s="190"/>
      <c r="G793" s="188"/>
      <c r="H793" s="190"/>
      <c r="I793" s="190"/>
      <c r="J793" s="188"/>
      <c r="K793" s="188"/>
      <c r="L793" s="188"/>
    </row>
    <row r="794" spans="3:12" hidden="1" x14ac:dyDescent="0.25">
      <c r="C794" s="188"/>
      <c r="D794" s="188"/>
      <c r="E794" s="188"/>
      <c r="F794" s="190"/>
      <c r="G794" s="188"/>
      <c r="H794" s="190"/>
      <c r="I794" s="190"/>
      <c r="J794" s="188"/>
      <c r="K794" s="188"/>
      <c r="L794" s="188"/>
    </row>
    <row r="795" spans="3:12" hidden="1" x14ac:dyDescent="0.25">
      <c r="C795" s="188"/>
      <c r="D795" s="188"/>
      <c r="E795" s="188"/>
      <c r="F795" s="190"/>
      <c r="G795" s="188"/>
      <c r="H795" s="190"/>
      <c r="I795" s="190"/>
      <c r="J795" s="188"/>
      <c r="K795" s="188"/>
      <c r="L795" s="188"/>
    </row>
    <row r="796" spans="3:12" hidden="1" x14ac:dyDescent="0.25">
      <c r="C796" s="188"/>
      <c r="D796" s="188"/>
      <c r="E796" s="188"/>
      <c r="F796" s="190"/>
      <c r="G796" s="188"/>
      <c r="H796" s="190"/>
      <c r="I796" s="190"/>
      <c r="J796" s="188"/>
      <c r="K796" s="188"/>
      <c r="L796" s="188"/>
    </row>
    <row r="797" spans="3:12" hidden="1" x14ac:dyDescent="0.25">
      <c r="C797" s="189"/>
      <c r="D797" s="189"/>
      <c r="E797" s="189"/>
      <c r="F797" s="191"/>
      <c r="G797" s="189"/>
      <c r="H797" s="191"/>
      <c r="I797" s="191"/>
      <c r="J797" s="189"/>
      <c r="K797" s="189"/>
      <c r="L797" s="189"/>
    </row>
    <row r="798" spans="3:12" hidden="1" x14ac:dyDescent="0.25">
      <c r="C798" s="188"/>
      <c r="D798" s="188"/>
      <c r="E798" s="188"/>
      <c r="F798" s="190"/>
      <c r="G798" s="188"/>
      <c r="H798" s="190"/>
      <c r="I798" s="190"/>
      <c r="J798" s="188"/>
      <c r="K798" s="188"/>
      <c r="L798" s="188"/>
    </row>
    <row r="799" spans="3:12" hidden="1" x14ac:dyDescent="0.25">
      <c r="C799" s="188"/>
      <c r="D799" s="188"/>
      <c r="E799" s="188"/>
      <c r="F799" s="188"/>
      <c r="G799" s="188"/>
      <c r="H799" s="190"/>
      <c r="I799" s="190"/>
      <c r="J799" s="188"/>
      <c r="K799" s="188"/>
      <c r="L799" s="188"/>
    </row>
  </sheetData>
  <sheetProtection sheet="1" objects="1" scenarios="1" sort="0" autoFilter="0"/>
  <mergeCells count="3">
    <mergeCell ref="H26:I26"/>
    <mergeCell ref="F12:H12"/>
    <mergeCell ref="F13:H13"/>
  </mergeCells>
  <conditionalFormatting sqref="C28:K6500">
    <cfRule type="expression" dxfId="44" priority="1">
      <formula>$C28&lt;&gt;""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50178" r:id="rId4" name="cbx_DateFor">
          <controlPr defaultSize="0" autoLine="0" r:id="rId5">
            <anchor moveWithCells="1">
              <from>
                <xdr:col>4</xdr:col>
                <xdr:colOff>57150</xdr:colOff>
                <xdr:row>17</xdr:row>
                <xdr:rowOff>95250</xdr:rowOff>
              </from>
              <to>
                <xdr:col>6</xdr:col>
                <xdr:colOff>666750</xdr:colOff>
                <xdr:row>18</xdr:row>
                <xdr:rowOff>171450</xdr:rowOff>
              </to>
            </anchor>
          </controlPr>
        </control>
      </mc:Choice>
      <mc:Fallback>
        <control shapeId="50178" r:id="rId4" name="cbx_DateFor"/>
      </mc:Fallback>
    </mc:AlternateContent>
    <mc:AlternateContent xmlns:mc="http://schemas.openxmlformats.org/markup-compatibility/2006">
      <mc:Choice Requires="x14">
        <control shapeId="50179" r:id="rId6" name="cbx_issueDate">
          <controlPr defaultSize="0" autoLine="0" r:id="rId7">
            <anchor moveWithCells="1">
              <from>
                <xdr:col>4</xdr:col>
                <xdr:colOff>57150</xdr:colOff>
                <xdr:row>19</xdr:row>
                <xdr:rowOff>28575</xdr:rowOff>
              </from>
              <to>
                <xdr:col>7</xdr:col>
                <xdr:colOff>142875</xdr:colOff>
                <xdr:row>20</xdr:row>
                <xdr:rowOff>104775</xdr:rowOff>
              </to>
            </anchor>
          </controlPr>
        </control>
      </mc:Choice>
      <mc:Fallback>
        <control shapeId="50179" r:id="rId6" name="cbx_issueDate"/>
      </mc:Fallback>
    </mc:AlternateContent>
    <mc:AlternateContent xmlns:mc="http://schemas.openxmlformats.org/markup-compatibility/2006">
      <mc:Choice Requires="x14">
        <control shapeId="50180" r:id="rId8" name="Button 4">
          <controlPr defaultSize="0" print="0" autoFill="0" autoPict="0" macro="[0]!OpenForm_R_AllAbsenceRecords_PickDates">
            <anchor moveWithCells="1">
              <from>
                <xdr:col>7</xdr:col>
                <xdr:colOff>600075</xdr:colOff>
                <xdr:row>14</xdr:row>
                <xdr:rowOff>9525</xdr:rowOff>
              </from>
              <to>
                <xdr:col>8</xdr:col>
                <xdr:colOff>638175</xdr:colOff>
                <xdr:row>16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0181" r:id="rId9" name="Button 5">
          <controlPr defaultSize="0" print="0" autoFill="0" autoPict="0" macro="[0]!Open_R_AllAbsenceRecords_doc">
            <anchor moveWithCells="1" sizeWithCells="1">
              <from>
                <xdr:col>6</xdr:col>
                <xdr:colOff>400050</xdr:colOff>
                <xdr:row>14</xdr:row>
                <xdr:rowOff>47625</xdr:rowOff>
              </from>
              <to>
                <xdr:col>7</xdr:col>
                <xdr:colOff>476250</xdr:colOff>
                <xdr:row>16</xdr:row>
                <xdr:rowOff>0</xdr:rowOff>
              </to>
            </anchor>
          </controlPr>
        </control>
      </mc:Choice>
    </mc:AlternateContent>
  </controls>
  <tableParts count="1">
    <tablePart r:id="rId10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11"/>
      </x14:slicerList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77071-ECAE-4C1B-A24C-0214233C133E}">
  <sheetPr codeName="Arkusz4">
    <tabColor theme="0" tint="-0.249977111117893"/>
  </sheetPr>
  <dimension ref="A1:AE257"/>
  <sheetViews>
    <sheetView showGridLines="0" zoomScale="85" zoomScaleNormal="85" workbookViewId="0">
      <pane ySplit="20" topLeftCell="A21" activePane="bottomLeft" state="frozen"/>
      <selection pane="bottomLeft" activeCell="I27" sqref="I27"/>
    </sheetView>
  </sheetViews>
  <sheetFormatPr defaultColWidth="0" defaultRowHeight="15" x14ac:dyDescent="0.25"/>
  <cols>
    <col min="1" max="2" width="9.140625" customWidth="1"/>
    <col min="3" max="3" width="13.5703125" bestFit="1" customWidth="1"/>
    <col min="4" max="4" width="14.85546875" customWidth="1"/>
    <col min="5" max="5" width="16.7109375" customWidth="1"/>
    <col min="6" max="6" width="55.85546875" style="23" customWidth="1"/>
    <col min="7" max="7" width="19.28515625" style="23" customWidth="1"/>
    <col min="8" max="8" width="15.7109375" style="23" customWidth="1"/>
    <col min="9" max="9" width="25" customWidth="1"/>
    <col min="10" max="10" width="6.5703125" customWidth="1"/>
    <col min="11" max="11" width="16.7109375" bestFit="1" customWidth="1"/>
    <col min="12" max="12" width="17.5703125" customWidth="1"/>
    <col min="13" max="13" width="17.85546875" customWidth="1"/>
    <col min="14" max="25" width="9.140625" customWidth="1"/>
    <col min="26" max="31" width="0" hidden="1" customWidth="1"/>
    <col min="32" max="16384" width="9.140625" hidden="1"/>
  </cols>
  <sheetData>
    <row r="1" spans="1:31" x14ac:dyDescent="0.25">
      <c r="A1" s="1"/>
      <c r="B1" s="1"/>
      <c r="C1" s="1"/>
      <c r="D1" s="1"/>
      <c r="E1" s="1"/>
      <c r="F1" s="49"/>
      <c r="G1" s="49"/>
      <c r="H1" s="49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26.25" x14ac:dyDescent="0.4">
      <c r="A2" s="1"/>
      <c r="B2" s="1"/>
      <c r="C2" s="1"/>
      <c r="D2" s="3" t="s">
        <v>0</v>
      </c>
      <c r="E2" s="1"/>
      <c r="F2" s="49"/>
      <c r="G2" s="49"/>
      <c r="H2" s="49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x14ac:dyDescent="0.25">
      <c r="A3" s="1"/>
      <c r="B3" s="1"/>
      <c r="C3" s="1"/>
      <c r="E3" s="1"/>
      <c r="F3" s="49"/>
      <c r="G3" s="49"/>
      <c r="H3" s="49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x14ac:dyDescent="0.25">
      <c r="A4" s="1"/>
      <c r="B4" s="1"/>
      <c r="C4" s="1"/>
      <c r="D4" s="1"/>
      <c r="E4" s="1"/>
      <c r="F4" s="49"/>
      <c r="G4" s="49"/>
      <c r="H4" s="49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x14ac:dyDescent="0.25">
      <c r="A5" s="1"/>
      <c r="B5" s="1"/>
      <c r="C5" s="1"/>
      <c r="D5" s="1"/>
      <c r="E5" s="1"/>
      <c r="F5" s="49"/>
      <c r="G5" s="49"/>
      <c r="H5" s="49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ht="15.75" thickBot="1" x14ac:dyDescent="0.3">
      <c r="A6" s="2"/>
      <c r="B6" s="2"/>
      <c r="C6" s="2"/>
      <c r="D6" s="2"/>
      <c r="E6" s="2"/>
      <c r="F6" s="50"/>
      <c r="G6" s="50"/>
      <c r="H6" s="50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1"/>
    </row>
    <row r="7" spans="1:31" x14ac:dyDescent="0.25">
      <c r="A7" s="1"/>
      <c r="B7" s="1"/>
      <c r="C7" s="1"/>
      <c r="D7" s="1"/>
      <c r="E7" s="1"/>
      <c r="F7" s="49"/>
      <c r="G7" s="49"/>
      <c r="H7" s="49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x14ac:dyDescent="0.25">
      <c r="A8" s="1"/>
      <c r="B8" s="1"/>
      <c r="C8" s="1"/>
      <c r="D8" s="1"/>
      <c r="E8" s="1"/>
      <c r="F8" s="49"/>
      <c r="G8" s="49"/>
      <c r="H8" s="49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x14ac:dyDescent="0.25">
      <c r="A9" s="1"/>
      <c r="B9" s="1"/>
      <c r="C9" s="1"/>
      <c r="D9" s="1"/>
      <c r="E9" s="1"/>
      <c r="F9" s="49"/>
      <c r="G9" s="49"/>
      <c r="H9" s="49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idden="1" x14ac:dyDescent="0.25">
      <c r="A10" s="1"/>
      <c r="B10" s="1"/>
      <c r="C10" s="1"/>
      <c r="D10" s="1"/>
      <c r="E10" s="1"/>
      <c r="F10" s="49"/>
      <c r="G10" s="49"/>
      <c r="H10" s="49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31" hidden="1" x14ac:dyDescent="0.25">
      <c r="A11" s="1"/>
      <c r="B11" s="1"/>
      <c r="C11" s="1"/>
      <c r="D11" s="1"/>
      <c r="E11" s="1"/>
      <c r="F11" s="49"/>
      <c r="G11" s="49"/>
      <c r="H11" s="49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31" hidden="1" x14ac:dyDescent="0.25">
      <c r="A12" s="1"/>
      <c r="B12" s="1"/>
      <c r="C12" s="1"/>
      <c r="D12" s="1"/>
      <c r="E12" s="1"/>
      <c r="F12" s="49"/>
      <c r="G12" s="49"/>
      <c r="H12" s="49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31" hidden="1" x14ac:dyDescent="0.25">
      <c r="A13" s="1"/>
      <c r="B13" s="1"/>
      <c r="C13" s="1"/>
      <c r="D13" s="1"/>
      <c r="E13" s="1"/>
      <c r="F13" s="49"/>
      <c r="G13" s="49"/>
      <c r="H13" s="49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31" hidden="1" x14ac:dyDescent="0.25">
      <c r="A14" s="1"/>
      <c r="B14" s="1"/>
      <c r="C14" s="1"/>
      <c r="D14" s="1"/>
      <c r="E14" s="1"/>
      <c r="F14" s="49"/>
      <c r="G14" s="49"/>
      <c r="H14" s="49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</row>
    <row r="15" spans="1:31" hidden="1" x14ac:dyDescent="0.25">
      <c r="A15" s="1"/>
      <c r="B15" s="1"/>
      <c r="C15" s="1"/>
      <c r="D15" s="1"/>
      <c r="E15" s="1"/>
      <c r="F15" s="49"/>
      <c r="G15" s="49"/>
      <c r="H15" s="49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</row>
    <row r="16" spans="1:31" hidden="1" x14ac:dyDescent="0.25">
      <c r="A16" s="1"/>
      <c r="B16" s="1"/>
      <c r="C16" s="1"/>
      <c r="D16" s="1"/>
      <c r="E16" s="1"/>
      <c r="F16" s="49"/>
      <c r="G16" s="49"/>
      <c r="H16" s="49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</row>
    <row r="17" spans="1:22" hidden="1" x14ac:dyDescent="0.25">
      <c r="A17" s="1"/>
      <c r="B17" s="1"/>
      <c r="C17" s="1"/>
      <c r="D17" s="1"/>
      <c r="E17" s="1"/>
      <c r="F17" s="49"/>
      <c r="G17" s="49"/>
      <c r="H17" s="49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</row>
    <row r="18" spans="1:22" hidden="1" x14ac:dyDescent="0.25">
      <c r="A18" s="1"/>
      <c r="B18" s="1"/>
      <c r="C18" s="1"/>
      <c r="D18" s="1"/>
      <c r="E18" s="1"/>
      <c r="F18" s="49"/>
      <c r="G18" s="49"/>
      <c r="H18" s="49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</row>
    <row r="20" spans="1:22" x14ac:dyDescent="0.25">
      <c r="C20" s="4" t="s">
        <v>1</v>
      </c>
      <c r="D20" s="4" t="s">
        <v>2</v>
      </c>
      <c r="E20" s="4" t="s">
        <v>3</v>
      </c>
      <c r="F20" s="51" t="s">
        <v>77</v>
      </c>
      <c r="G20" s="51" t="s">
        <v>4</v>
      </c>
      <c r="H20" s="51" t="s">
        <v>5</v>
      </c>
      <c r="I20" s="4" t="s">
        <v>6</v>
      </c>
      <c r="J20" s="4" t="s">
        <v>7</v>
      </c>
      <c r="K20" s="4" t="s">
        <v>8</v>
      </c>
      <c r="L20" s="4" t="s">
        <v>9</v>
      </c>
      <c r="M20" s="4" t="s">
        <v>151</v>
      </c>
    </row>
    <row r="21" spans="1:22" x14ac:dyDescent="0.25">
      <c r="C21" s="5"/>
      <c r="D21" s="5"/>
      <c r="E21" s="5"/>
      <c r="F21" s="24"/>
      <c r="G21" s="24"/>
      <c r="H21" s="24"/>
      <c r="I21" s="5"/>
      <c r="J21" s="6"/>
      <c r="K21" s="6"/>
      <c r="L21" s="6"/>
    </row>
    <row r="22" spans="1:22" x14ac:dyDescent="0.25">
      <c r="C22" s="5"/>
      <c r="D22" s="5"/>
      <c r="E22" s="5"/>
      <c r="F22" s="24"/>
      <c r="G22" s="24"/>
      <c r="H22" s="24"/>
      <c r="I22" s="5"/>
      <c r="J22" s="6"/>
      <c r="K22" s="6"/>
      <c r="L22" s="6"/>
    </row>
    <row r="23" spans="1:22" x14ac:dyDescent="0.25">
      <c r="C23" s="5"/>
      <c r="D23" s="5"/>
      <c r="E23" s="5"/>
      <c r="F23" s="24"/>
      <c r="G23" s="24"/>
      <c r="H23" s="24"/>
      <c r="I23" s="5"/>
      <c r="J23" s="6"/>
      <c r="K23" s="6"/>
      <c r="L23" s="6"/>
    </row>
    <row r="24" spans="1:22" x14ac:dyDescent="0.25">
      <c r="C24" s="5"/>
      <c r="D24" s="5"/>
      <c r="E24" s="5"/>
      <c r="F24" s="24"/>
      <c r="G24" s="24"/>
      <c r="H24" s="24"/>
      <c r="I24" s="5"/>
      <c r="J24" s="6"/>
      <c r="K24" s="6"/>
      <c r="L24" s="6"/>
    </row>
    <row r="25" spans="1:22" x14ac:dyDescent="0.25">
      <c r="C25" s="5"/>
      <c r="D25" s="5"/>
      <c r="E25" s="5"/>
      <c r="F25" s="24"/>
      <c r="G25" s="24"/>
      <c r="H25" s="24"/>
      <c r="I25" s="5"/>
      <c r="J25" s="5"/>
      <c r="K25" s="6"/>
      <c r="L25" s="6"/>
    </row>
    <row r="26" spans="1:22" x14ac:dyDescent="0.25">
      <c r="C26" s="5"/>
      <c r="D26" s="5"/>
      <c r="E26" s="5"/>
      <c r="F26" s="24"/>
      <c r="G26" s="24"/>
      <c r="H26" s="24"/>
      <c r="I26" s="5"/>
      <c r="J26" s="5"/>
      <c r="K26" s="6"/>
      <c r="L26" s="6"/>
    </row>
    <row r="27" spans="1:22" x14ac:dyDescent="0.25">
      <c r="C27" s="5"/>
      <c r="D27" s="5"/>
      <c r="E27" s="5"/>
      <c r="F27" s="24"/>
      <c r="G27" s="24"/>
      <c r="H27" s="24"/>
      <c r="I27" s="5"/>
      <c r="J27" s="5"/>
      <c r="K27" s="6"/>
      <c r="L27" s="6"/>
    </row>
    <row r="28" spans="1:22" x14ac:dyDescent="0.25">
      <c r="C28" s="5"/>
      <c r="D28" s="5"/>
      <c r="E28" s="5"/>
      <c r="F28" s="24"/>
      <c r="G28" s="24"/>
      <c r="H28" s="24"/>
      <c r="I28" s="5"/>
      <c r="J28" s="5"/>
      <c r="K28" s="6"/>
      <c r="L28" s="6"/>
    </row>
    <row r="29" spans="1:22" x14ac:dyDescent="0.25">
      <c r="K29" s="7"/>
      <c r="L29" s="7"/>
    </row>
    <row r="30" spans="1:22" x14ac:dyDescent="0.25">
      <c r="K30" s="7"/>
      <c r="L30" s="7"/>
    </row>
    <row r="31" spans="1:22" x14ac:dyDescent="0.25">
      <c r="K31" s="7"/>
      <c r="L31" s="7"/>
    </row>
    <row r="32" spans="1:22" x14ac:dyDescent="0.25">
      <c r="K32" s="7"/>
      <c r="L32" s="7"/>
    </row>
    <row r="33" spans="11:12" x14ac:dyDescent="0.25">
      <c r="K33" s="7"/>
      <c r="L33" s="7"/>
    </row>
    <row r="34" spans="11:12" x14ac:dyDescent="0.25">
      <c r="K34" s="7"/>
      <c r="L34" s="7"/>
    </row>
    <row r="35" spans="11:12" x14ac:dyDescent="0.25">
      <c r="K35" s="7"/>
      <c r="L35" s="7"/>
    </row>
    <row r="36" spans="11:12" x14ac:dyDescent="0.25">
      <c r="K36" s="7"/>
      <c r="L36" s="7"/>
    </row>
    <row r="37" spans="11:12" x14ac:dyDescent="0.25">
      <c r="K37" s="7"/>
      <c r="L37" s="7"/>
    </row>
    <row r="38" spans="11:12" x14ac:dyDescent="0.25">
      <c r="K38" s="7"/>
      <c r="L38" s="7"/>
    </row>
    <row r="39" spans="11:12" x14ac:dyDescent="0.25">
      <c r="K39" s="7"/>
      <c r="L39" s="7"/>
    </row>
    <row r="40" spans="11:12" x14ac:dyDescent="0.25">
      <c r="K40" s="7"/>
      <c r="L40" s="7"/>
    </row>
    <row r="41" spans="11:12" x14ac:dyDescent="0.25">
      <c r="K41" s="7"/>
      <c r="L41" s="7"/>
    </row>
    <row r="42" spans="11:12" x14ac:dyDescent="0.25">
      <c r="K42" s="7"/>
      <c r="L42" s="7"/>
    </row>
    <row r="43" spans="11:12" x14ac:dyDescent="0.25">
      <c r="K43" s="7"/>
      <c r="L43" s="7"/>
    </row>
    <row r="44" spans="11:12" x14ac:dyDescent="0.25">
      <c r="K44" s="7"/>
      <c r="L44" s="7"/>
    </row>
    <row r="45" spans="11:12" x14ac:dyDescent="0.25">
      <c r="K45" s="7"/>
      <c r="L45" s="7"/>
    </row>
    <row r="46" spans="11:12" x14ac:dyDescent="0.25">
      <c r="K46" s="7"/>
      <c r="L46" s="7"/>
    </row>
    <row r="47" spans="11:12" x14ac:dyDescent="0.25">
      <c r="K47" s="7"/>
      <c r="L47" s="7"/>
    </row>
    <row r="48" spans="11:12" x14ac:dyDescent="0.25">
      <c r="K48" s="7"/>
      <c r="L48" s="7"/>
    </row>
    <row r="49" spans="11:12" x14ac:dyDescent="0.25">
      <c r="K49" s="7"/>
      <c r="L49" s="7"/>
    </row>
    <row r="50" spans="11:12" x14ac:dyDescent="0.25">
      <c r="K50" s="7"/>
      <c r="L50" s="7"/>
    </row>
    <row r="51" spans="11:12" x14ac:dyDescent="0.25">
      <c r="K51" s="7"/>
      <c r="L51" s="7"/>
    </row>
    <row r="52" spans="11:12" x14ac:dyDescent="0.25">
      <c r="K52" s="7"/>
      <c r="L52" s="7"/>
    </row>
    <row r="53" spans="11:12" x14ac:dyDescent="0.25">
      <c r="K53" s="7"/>
      <c r="L53" s="7"/>
    </row>
    <row r="54" spans="11:12" x14ac:dyDescent="0.25">
      <c r="K54" s="7"/>
      <c r="L54" s="7"/>
    </row>
    <row r="55" spans="11:12" x14ac:dyDescent="0.25">
      <c r="K55" s="7"/>
      <c r="L55" s="7"/>
    </row>
    <row r="56" spans="11:12" x14ac:dyDescent="0.25">
      <c r="K56" s="7"/>
      <c r="L56" s="7"/>
    </row>
    <row r="57" spans="11:12" x14ac:dyDescent="0.25">
      <c r="K57" s="7"/>
      <c r="L57" s="7"/>
    </row>
    <row r="58" spans="11:12" x14ac:dyDescent="0.25">
      <c r="K58" s="7"/>
      <c r="L58" s="7"/>
    </row>
    <row r="59" spans="11:12" x14ac:dyDescent="0.25">
      <c r="K59" s="7"/>
      <c r="L59" s="7"/>
    </row>
    <row r="60" spans="11:12" x14ac:dyDescent="0.25">
      <c r="K60" s="7"/>
      <c r="L60" s="7"/>
    </row>
    <row r="61" spans="11:12" x14ac:dyDescent="0.25">
      <c r="K61" s="7"/>
      <c r="L61" s="7"/>
    </row>
    <row r="62" spans="11:12" x14ac:dyDescent="0.25">
      <c r="K62" s="7"/>
      <c r="L62" s="7"/>
    </row>
    <row r="63" spans="11:12" x14ac:dyDescent="0.25">
      <c r="K63" s="7"/>
      <c r="L63" s="7"/>
    </row>
    <row r="64" spans="11:12" x14ac:dyDescent="0.25">
      <c r="K64" s="7"/>
      <c r="L64" s="7"/>
    </row>
    <row r="65" spans="11:12" x14ac:dyDescent="0.25">
      <c r="K65" s="7"/>
      <c r="L65" s="7"/>
    </row>
    <row r="66" spans="11:12" x14ac:dyDescent="0.25">
      <c r="K66" s="7"/>
      <c r="L66" s="7"/>
    </row>
    <row r="67" spans="11:12" x14ac:dyDescent="0.25">
      <c r="K67" s="7"/>
      <c r="L67" s="7"/>
    </row>
    <row r="68" spans="11:12" x14ac:dyDescent="0.25">
      <c r="K68" s="7"/>
      <c r="L68" s="7"/>
    </row>
    <row r="69" spans="11:12" x14ac:dyDescent="0.25">
      <c r="K69" s="7"/>
      <c r="L69" s="7"/>
    </row>
    <row r="70" spans="11:12" x14ac:dyDescent="0.25">
      <c r="K70" s="7"/>
      <c r="L70" s="7"/>
    </row>
    <row r="71" spans="11:12" x14ac:dyDescent="0.25">
      <c r="K71" s="7"/>
      <c r="L71" s="7"/>
    </row>
    <row r="72" spans="11:12" x14ac:dyDescent="0.25">
      <c r="K72" s="7"/>
      <c r="L72" s="7"/>
    </row>
    <row r="73" spans="11:12" x14ac:dyDescent="0.25">
      <c r="K73" s="7"/>
      <c r="L73" s="7"/>
    </row>
    <row r="74" spans="11:12" x14ac:dyDescent="0.25">
      <c r="K74" s="7"/>
      <c r="L74" s="7"/>
    </row>
    <row r="75" spans="11:12" x14ac:dyDescent="0.25">
      <c r="K75" s="7"/>
      <c r="L75" s="7"/>
    </row>
    <row r="76" spans="11:12" x14ac:dyDescent="0.25">
      <c r="K76" s="7"/>
      <c r="L76" s="7"/>
    </row>
    <row r="77" spans="11:12" x14ac:dyDescent="0.25">
      <c r="K77" s="7"/>
      <c r="L77" s="7"/>
    </row>
    <row r="78" spans="11:12" x14ac:dyDescent="0.25">
      <c r="K78" s="7"/>
      <c r="L78" s="7"/>
    </row>
    <row r="79" spans="11:12" x14ac:dyDescent="0.25">
      <c r="K79" s="7"/>
      <c r="L79" s="7"/>
    </row>
    <row r="80" spans="11:12" x14ac:dyDescent="0.25">
      <c r="K80" s="7"/>
      <c r="L80" s="7"/>
    </row>
    <row r="81" spans="11:12" x14ac:dyDescent="0.25">
      <c r="K81" s="7"/>
      <c r="L81" s="7"/>
    </row>
    <row r="82" spans="11:12" x14ac:dyDescent="0.25">
      <c r="K82" s="7"/>
      <c r="L82" s="7"/>
    </row>
    <row r="83" spans="11:12" x14ac:dyDescent="0.25">
      <c r="K83" s="7"/>
      <c r="L83" s="7"/>
    </row>
    <row r="84" spans="11:12" x14ac:dyDescent="0.25">
      <c r="K84" s="7"/>
      <c r="L84" s="7"/>
    </row>
    <row r="85" spans="11:12" x14ac:dyDescent="0.25">
      <c r="K85" s="7"/>
      <c r="L85" s="7"/>
    </row>
    <row r="86" spans="11:12" x14ac:dyDescent="0.25">
      <c r="K86" s="7"/>
      <c r="L86" s="7"/>
    </row>
    <row r="87" spans="11:12" x14ac:dyDescent="0.25">
      <c r="K87" s="7"/>
      <c r="L87" s="7"/>
    </row>
    <row r="88" spans="11:12" x14ac:dyDescent="0.25">
      <c r="K88" s="7"/>
      <c r="L88" s="7"/>
    </row>
    <row r="89" spans="11:12" x14ac:dyDescent="0.25">
      <c r="K89" s="7"/>
      <c r="L89" s="7"/>
    </row>
    <row r="90" spans="11:12" x14ac:dyDescent="0.25">
      <c r="K90" s="7"/>
      <c r="L90" s="7"/>
    </row>
    <row r="91" spans="11:12" x14ac:dyDescent="0.25">
      <c r="K91" s="7"/>
      <c r="L91" s="7"/>
    </row>
    <row r="92" spans="11:12" x14ac:dyDescent="0.25">
      <c r="K92" s="7"/>
      <c r="L92" s="7"/>
    </row>
    <row r="93" spans="11:12" x14ac:dyDescent="0.25">
      <c r="K93" s="7"/>
      <c r="L93" s="7"/>
    </row>
    <row r="94" spans="11:12" x14ac:dyDescent="0.25">
      <c r="K94" s="7"/>
      <c r="L94" s="7"/>
    </row>
    <row r="95" spans="11:12" x14ac:dyDescent="0.25">
      <c r="K95" s="7"/>
      <c r="L95" s="7"/>
    </row>
    <row r="96" spans="11:12" x14ac:dyDescent="0.25">
      <c r="K96" s="7"/>
      <c r="L96" s="7"/>
    </row>
    <row r="97" spans="11:12" x14ac:dyDescent="0.25">
      <c r="K97" s="7"/>
      <c r="L97" s="7"/>
    </row>
    <row r="98" spans="11:12" x14ac:dyDescent="0.25">
      <c r="K98" s="7"/>
      <c r="L98" s="7"/>
    </row>
    <row r="99" spans="11:12" x14ac:dyDescent="0.25">
      <c r="K99" s="7"/>
      <c r="L99" s="7"/>
    </row>
    <row r="100" spans="11:12" x14ac:dyDescent="0.25">
      <c r="K100" s="7"/>
      <c r="L100" s="7"/>
    </row>
    <row r="101" spans="11:12" x14ac:dyDescent="0.25">
      <c r="K101" s="7"/>
      <c r="L101" s="7"/>
    </row>
    <row r="102" spans="11:12" x14ac:dyDescent="0.25">
      <c r="K102" s="7"/>
      <c r="L102" s="7"/>
    </row>
    <row r="103" spans="11:12" x14ac:dyDescent="0.25">
      <c r="K103" s="7"/>
      <c r="L103" s="7"/>
    </row>
    <row r="104" spans="11:12" x14ac:dyDescent="0.25">
      <c r="K104" s="7"/>
      <c r="L104" s="7"/>
    </row>
    <row r="105" spans="11:12" x14ac:dyDescent="0.25">
      <c r="K105" s="7"/>
      <c r="L105" s="7"/>
    </row>
    <row r="106" spans="11:12" x14ac:dyDescent="0.25">
      <c r="K106" s="7"/>
      <c r="L106" s="7"/>
    </row>
    <row r="107" spans="11:12" x14ac:dyDescent="0.25">
      <c r="K107" s="7"/>
      <c r="L107" s="7"/>
    </row>
    <row r="108" spans="11:12" x14ac:dyDescent="0.25">
      <c r="K108" s="7"/>
      <c r="L108" s="7"/>
    </row>
    <row r="109" spans="11:12" x14ac:dyDescent="0.25">
      <c r="K109" s="7"/>
      <c r="L109" s="7"/>
    </row>
    <row r="110" spans="11:12" x14ac:dyDescent="0.25">
      <c r="K110" s="7"/>
      <c r="L110" s="7"/>
    </row>
    <row r="111" spans="11:12" x14ac:dyDescent="0.25">
      <c r="K111" s="7"/>
      <c r="L111" s="7"/>
    </row>
    <row r="112" spans="11:12" x14ac:dyDescent="0.25">
      <c r="K112" s="7"/>
      <c r="L112" s="7"/>
    </row>
    <row r="113" spans="11:12" x14ac:dyDescent="0.25">
      <c r="K113" s="7"/>
      <c r="L113" s="7"/>
    </row>
    <row r="114" spans="11:12" x14ac:dyDescent="0.25">
      <c r="K114" s="7"/>
      <c r="L114" s="7"/>
    </row>
    <row r="115" spans="11:12" x14ac:dyDescent="0.25">
      <c r="K115" s="7"/>
      <c r="L115" s="7"/>
    </row>
    <row r="116" spans="11:12" x14ac:dyDescent="0.25">
      <c r="K116" s="7"/>
      <c r="L116" s="7"/>
    </row>
    <row r="117" spans="11:12" x14ac:dyDescent="0.25">
      <c r="K117" s="7"/>
      <c r="L117" s="7"/>
    </row>
    <row r="118" spans="11:12" x14ac:dyDescent="0.25">
      <c r="K118" s="7"/>
      <c r="L118" s="7"/>
    </row>
    <row r="119" spans="11:12" x14ac:dyDescent="0.25">
      <c r="K119" s="7"/>
      <c r="L119" s="7"/>
    </row>
    <row r="120" spans="11:12" x14ac:dyDescent="0.25">
      <c r="K120" s="7"/>
      <c r="L120" s="7"/>
    </row>
    <row r="121" spans="11:12" x14ac:dyDescent="0.25">
      <c r="K121" s="7"/>
      <c r="L121" s="7"/>
    </row>
    <row r="122" spans="11:12" x14ac:dyDescent="0.25">
      <c r="K122" s="7"/>
      <c r="L122" s="7"/>
    </row>
    <row r="123" spans="11:12" x14ac:dyDescent="0.25">
      <c r="K123" s="7"/>
      <c r="L123" s="7"/>
    </row>
    <row r="124" spans="11:12" x14ac:dyDescent="0.25">
      <c r="K124" s="7"/>
      <c r="L124" s="7"/>
    </row>
    <row r="125" spans="11:12" x14ac:dyDescent="0.25">
      <c r="K125" s="7"/>
      <c r="L125" s="7"/>
    </row>
    <row r="126" spans="11:12" x14ac:dyDescent="0.25">
      <c r="K126" s="7"/>
      <c r="L126" s="7"/>
    </row>
    <row r="127" spans="11:12" x14ac:dyDescent="0.25">
      <c r="K127" s="7"/>
      <c r="L127" s="7"/>
    </row>
    <row r="128" spans="11:12" x14ac:dyDescent="0.25">
      <c r="K128" s="7"/>
      <c r="L128" s="7"/>
    </row>
    <row r="129" spans="11:12" x14ac:dyDescent="0.25">
      <c r="K129" s="7"/>
      <c r="L129" s="7"/>
    </row>
    <row r="130" spans="11:12" x14ac:dyDescent="0.25">
      <c r="K130" s="7"/>
      <c r="L130" s="7"/>
    </row>
    <row r="131" spans="11:12" x14ac:dyDescent="0.25">
      <c r="K131" s="7"/>
      <c r="L131" s="7"/>
    </row>
    <row r="132" spans="11:12" x14ac:dyDescent="0.25">
      <c r="K132" s="7"/>
      <c r="L132" s="7"/>
    </row>
    <row r="133" spans="11:12" x14ac:dyDescent="0.25">
      <c r="K133" s="7"/>
      <c r="L133" s="7"/>
    </row>
    <row r="134" spans="11:12" x14ac:dyDescent="0.25">
      <c r="K134" s="7"/>
      <c r="L134" s="7"/>
    </row>
    <row r="135" spans="11:12" x14ac:dyDescent="0.25">
      <c r="K135" s="7"/>
      <c r="L135" s="7"/>
    </row>
    <row r="136" spans="11:12" x14ac:dyDescent="0.25">
      <c r="K136" s="7"/>
      <c r="L136" s="7"/>
    </row>
    <row r="137" spans="11:12" x14ac:dyDescent="0.25">
      <c r="K137" s="7"/>
      <c r="L137" s="7"/>
    </row>
    <row r="138" spans="11:12" x14ac:dyDescent="0.25">
      <c r="K138" s="7"/>
      <c r="L138" s="7"/>
    </row>
    <row r="139" spans="11:12" x14ac:dyDescent="0.25">
      <c r="K139" s="7"/>
      <c r="L139" s="7"/>
    </row>
    <row r="140" spans="11:12" x14ac:dyDescent="0.25">
      <c r="K140" s="7"/>
      <c r="L140" s="7"/>
    </row>
    <row r="141" spans="11:12" x14ac:dyDescent="0.25">
      <c r="K141" s="7"/>
      <c r="L141" s="7"/>
    </row>
    <row r="142" spans="11:12" x14ac:dyDescent="0.25">
      <c r="K142" s="7"/>
      <c r="L142" s="7"/>
    </row>
    <row r="143" spans="11:12" x14ac:dyDescent="0.25">
      <c r="K143" s="7"/>
      <c r="L143" s="7"/>
    </row>
    <row r="144" spans="11:12" x14ac:dyDescent="0.25">
      <c r="K144" s="7"/>
      <c r="L144" s="7"/>
    </row>
    <row r="145" spans="11:12" x14ac:dyDescent="0.25">
      <c r="K145" s="7"/>
      <c r="L145" s="7"/>
    </row>
    <row r="146" spans="11:12" x14ac:dyDescent="0.25">
      <c r="K146" s="7"/>
      <c r="L146" s="7"/>
    </row>
    <row r="147" spans="11:12" x14ac:dyDescent="0.25">
      <c r="K147" s="7"/>
      <c r="L147" s="7"/>
    </row>
    <row r="148" spans="11:12" x14ac:dyDescent="0.25">
      <c r="K148" s="7"/>
      <c r="L148" s="7"/>
    </row>
    <row r="149" spans="11:12" x14ac:dyDescent="0.25">
      <c r="K149" s="7"/>
      <c r="L149" s="7"/>
    </row>
    <row r="150" spans="11:12" x14ac:dyDescent="0.25">
      <c r="K150" s="7"/>
      <c r="L150" s="7"/>
    </row>
    <row r="151" spans="11:12" x14ac:dyDescent="0.25">
      <c r="K151" s="7"/>
      <c r="L151" s="7"/>
    </row>
    <row r="152" spans="11:12" x14ac:dyDescent="0.25">
      <c r="K152" s="7"/>
      <c r="L152" s="7"/>
    </row>
    <row r="153" spans="11:12" x14ac:dyDescent="0.25">
      <c r="K153" s="7"/>
      <c r="L153" s="7"/>
    </row>
    <row r="154" spans="11:12" x14ac:dyDescent="0.25">
      <c r="K154" s="7"/>
      <c r="L154" s="7"/>
    </row>
    <row r="155" spans="11:12" x14ac:dyDescent="0.25">
      <c r="K155" s="7"/>
      <c r="L155" s="7"/>
    </row>
    <row r="156" spans="11:12" x14ac:dyDescent="0.25">
      <c r="K156" s="7"/>
      <c r="L156" s="7"/>
    </row>
    <row r="157" spans="11:12" x14ac:dyDescent="0.25">
      <c r="K157" s="7"/>
      <c r="L157" s="7"/>
    </row>
    <row r="158" spans="11:12" x14ac:dyDescent="0.25">
      <c r="K158" s="7"/>
      <c r="L158" s="7"/>
    </row>
    <row r="159" spans="11:12" x14ac:dyDescent="0.25">
      <c r="K159" s="7"/>
      <c r="L159" s="7"/>
    </row>
    <row r="160" spans="11:12" x14ac:dyDescent="0.25">
      <c r="K160" s="7"/>
      <c r="L160" s="7"/>
    </row>
    <row r="161" spans="11:12" x14ac:dyDescent="0.25">
      <c r="K161" s="7"/>
      <c r="L161" s="7"/>
    </row>
    <row r="162" spans="11:12" x14ac:dyDescent="0.25">
      <c r="K162" s="7"/>
      <c r="L162" s="7"/>
    </row>
    <row r="163" spans="11:12" x14ac:dyDescent="0.25">
      <c r="K163" s="7"/>
      <c r="L163" s="7"/>
    </row>
    <row r="164" spans="11:12" x14ac:dyDescent="0.25">
      <c r="K164" s="7"/>
      <c r="L164" s="7"/>
    </row>
    <row r="165" spans="11:12" x14ac:dyDescent="0.25">
      <c r="K165" s="7"/>
      <c r="L165" s="7"/>
    </row>
    <row r="166" spans="11:12" x14ac:dyDescent="0.25">
      <c r="K166" s="7"/>
      <c r="L166" s="7"/>
    </row>
    <row r="167" spans="11:12" x14ac:dyDescent="0.25">
      <c r="K167" s="7"/>
      <c r="L167" s="7"/>
    </row>
    <row r="168" spans="11:12" x14ac:dyDescent="0.25">
      <c r="K168" s="7"/>
      <c r="L168" s="7"/>
    </row>
    <row r="169" spans="11:12" x14ac:dyDescent="0.25">
      <c r="K169" s="7"/>
      <c r="L169" s="7"/>
    </row>
    <row r="170" spans="11:12" x14ac:dyDescent="0.25">
      <c r="K170" s="7"/>
      <c r="L170" s="7"/>
    </row>
    <row r="171" spans="11:12" x14ac:dyDescent="0.25">
      <c r="K171" s="7"/>
      <c r="L171" s="7"/>
    </row>
    <row r="172" spans="11:12" x14ac:dyDescent="0.25">
      <c r="K172" s="7"/>
      <c r="L172" s="7"/>
    </row>
    <row r="173" spans="11:12" x14ac:dyDescent="0.25">
      <c r="K173" s="7"/>
      <c r="L173" s="7"/>
    </row>
    <row r="174" spans="11:12" x14ac:dyDescent="0.25">
      <c r="K174" s="7"/>
      <c r="L174" s="7"/>
    </row>
    <row r="175" spans="11:12" x14ac:dyDescent="0.25">
      <c r="K175" s="7"/>
      <c r="L175" s="7"/>
    </row>
    <row r="176" spans="11:12" x14ac:dyDescent="0.25">
      <c r="K176" s="7"/>
      <c r="L176" s="7"/>
    </row>
    <row r="177" spans="11:12" x14ac:dyDescent="0.25">
      <c r="K177" s="7"/>
      <c r="L177" s="7"/>
    </row>
    <row r="178" spans="11:12" x14ac:dyDescent="0.25">
      <c r="K178" s="7"/>
      <c r="L178" s="7"/>
    </row>
    <row r="179" spans="11:12" x14ac:dyDescent="0.25">
      <c r="K179" s="7"/>
      <c r="L179" s="7"/>
    </row>
    <row r="180" spans="11:12" x14ac:dyDescent="0.25">
      <c r="K180" s="7"/>
      <c r="L180" s="7"/>
    </row>
    <row r="181" spans="11:12" x14ac:dyDescent="0.25">
      <c r="K181" s="7"/>
      <c r="L181" s="7"/>
    </row>
    <row r="182" spans="11:12" x14ac:dyDescent="0.25">
      <c r="K182" s="7"/>
      <c r="L182" s="7"/>
    </row>
    <row r="183" spans="11:12" x14ac:dyDescent="0.25">
      <c r="K183" s="7"/>
      <c r="L183" s="7"/>
    </row>
    <row r="184" spans="11:12" x14ac:dyDescent="0.25">
      <c r="K184" s="7"/>
      <c r="L184" s="7"/>
    </row>
    <row r="185" spans="11:12" x14ac:dyDescent="0.25">
      <c r="K185" s="7"/>
      <c r="L185" s="7"/>
    </row>
    <row r="186" spans="11:12" x14ac:dyDescent="0.25">
      <c r="K186" s="7"/>
      <c r="L186" s="7"/>
    </row>
    <row r="187" spans="11:12" x14ac:dyDescent="0.25">
      <c r="K187" s="7"/>
      <c r="L187" s="7"/>
    </row>
    <row r="188" spans="11:12" x14ac:dyDescent="0.25">
      <c r="K188" s="7"/>
      <c r="L188" s="7"/>
    </row>
    <row r="189" spans="11:12" x14ac:dyDescent="0.25">
      <c r="K189" s="7"/>
      <c r="L189" s="7"/>
    </row>
    <row r="190" spans="11:12" x14ac:dyDescent="0.25">
      <c r="K190" s="7"/>
      <c r="L190" s="7"/>
    </row>
    <row r="191" spans="11:12" x14ac:dyDescent="0.25">
      <c r="K191" s="7"/>
      <c r="L191" s="7"/>
    </row>
    <row r="192" spans="11:12" x14ac:dyDescent="0.25">
      <c r="K192" s="7"/>
      <c r="L192" s="7"/>
    </row>
    <row r="193" spans="11:12" x14ac:dyDescent="0.25">
      <c r="K193" s="7"/>
      <c r="L193" s="7"/>
    </row>
    <row r="194" spans="11:12" x14ac:dyDescent="0.25">
      <c r="K194" s="7"/>
      <c r="L194" s="7"/>
    </row>
    <row r="195" spans="11:12" x14ac:dyDescent="0.25">
      <c r="K195" s="7"/>
      <c r="L195" s="7"/>
    </row>
    <row r="196" spans="11:12" x14ac:dyDescent="0.25">
      <c r="K196" s="7"/>
      <c r="L196" s="7"/>
    </row>
    <row r="197" spans="11:12" x14ac:dyDescent="0.25">
      <c r="K197" s="7"/>
      <c r="L197" s="7"/>
    </row>
    <row r="198" spans="11:12" x14ac:dyDescent="0.25">
      <c r="K198" s="7"/>
      <c r="L198" s="7"/>
    </row>
    <row r="199" spans="11:12" x14ac:dyDescent="0.25">
      <c r="K199" s="7"/>
      <c r="L199" s="7"/>
    </row>
    <row r="200" spans="11:12" x14ac:dyDescent="0.25">
      <c r="K200" s="7"/>
      <c r="L200" s="7"/>
    </row>
    <row r="201" spans="11:12" x14ac:dyDescent="0.25">
      <c r="K201" s="7"/>
      <c r="L201" s="7"/>
    </row>
    <row r="202" spans="11:12" x14ac:dyDescent="0.25">
      <c r="K202" s="7"/>
      <c r="L202" s="7"/>
    </row>
    <row r="203" spans="11:12" x14ac:dyDescent="0.25">
      <c r="K203" s="7"/>
      <c r="L203" s="7"/>
    </row>
    <row r="204" spans="11:12" x14ac:dyDescent="0.25">
      <c r="K204" s="7"/>
      <c r="L204" s="7"/>
    </row>
    <row r="205" spans="11:12" x14ac:dyDescent="0.25">
      <c r="K205" s="7"/>
      <c r="L205" s="7"/>
    </row>
    <row r="206" spans="11:12" x14ac:dyDescent="0.25">
      <c r="K206" s="7"/>
      <c r="L206" s="7"/>
    </row>
    <row r="207" spans="11:12" x14ac:dyDescent="0.25">
      <c r="K207" s="7"/>
      <c r="L207" s="7"/>
    </row>
    <row r="208" spans="11:12" x14ac:dyDescent="0.25">
      <c r="K208" s="7"/>
      <c r="L208" s="7"/>
    </row>
    <row r="209" spans="11:12" x14ac:dyDescent="0.25">
      <c r="K209" s="7"/>
      <c r="L209" s="7"/>
    </row>
    <row r="210" spans="11:12" x14ac:dyDescent="0.25">
      <c r="K210" s="7"/>
      <c r="L210" s="7"/>
    </row>
    <row r="211" spans="11:12" x14ac:dyDescent="0.25">
      <c r="K211" s="7"/>
      <c r="L211" s="7"/>
    </row>
    <row r="212" spans="11:12" x14ac:dyDescent="0.25">
      <c r="K212" s="7"/>
      <c r="L212" s="7"/>
    </row>
    <row r="213" spans="11:12" x14ac:dyDescent="0.25">
      <c r="K213" s="7"/>
      <c r="L213" s="7"/>
    </row>
    <row r="214" spans="11:12" x14ac:dyDescent="0.25">
      <c r="K214" s="7"/>
      <c r="L214" s="7"/>
    </row>
    <row r="215" spans="11:12" x14ac:dyDescent="0.25">
      <c r="K215" s="7"/>
      <c r="L215" s="7"/>
    </row>
    <row r="216" spans="11:12" x14ac:dyDescent="0.25">
      <c r="K216" s="7"/>
      <c r="L216" s="7"/>
    </row>
    <row r="217" spans="11:12" x14ac:dyDescent="0.25">
      <c r="K217" s="7"/>
      <c r="L217" s="7"/>
    </row>
    <row r="218" spans="11:12" x14ac:dyDescent="0.25">
      <c r="K218" s="7"/>
      <c r="L218" s="7"/>
    </row>
    <row r="219" spans="11:12" x14ac:dyDescent="0.25">
      <c r="K219" s="7"/>
      <c r="L219" s="7"/>
    </row>
    <row r="220" spans="11:12" x14ac:dyDescent="0.25">
      <c r="K220" s="7"/>
      <c r="L220" s="7"/>
    </row>
    <row r="221" spans="11:12" x14ac:dyDescent="0.25">
      <c r="K221" s="7"/>
      <c r="L221" s="7"/>
    </row>
    <row r="222" spans="11:12" x14ac:dyDescent="0.25">
      <c r="K222" s="7"/>
      <c r="L222" s="7"/>
    </row>
    <row r="223" spans="11:12" x14ac:dyDescent="0.25">
      <c r="K223" s="7"/>
      <c r="L223" s="7"/>
    </row>
    <row r="224" spans="11:12" x14ac:dyDescent="0.25">
      <c r="K224" s="7"/>
      <c r="L224" s="7"/>
    </row>
    <row r="225" spans="11:12" x14ac:dyDescent="0.25">
      <c r="K225" s="7"/>
      <c r="L225" s="7"/>
    </row>
    <row r="226" spans="11:12" x14ac:dyDescent="0.25">
      <c r="K226" s="7"/>
      <c r="L226" s="7"/>
    </row>
    <row r="227" spans="11:12" x14ac:dyDescent="0.25">
      <c r="K227" s="7"/>
      <c r="L227" s="7"/>
    </row>
    <row r="228" spans="11:12" x14ac:dyDescent="0.25">
      <c r="K228" s="7"/>
      <c r="L228" s="7"/>
    </row>
    <row r="229" spans="11:12" x14ac:dyDescent="0.25">
      <c r="K229" s="7"/>
      <c r="L229" s="7"/>
    </row>
    <row r="230" spans="11:12" x14ac:dyDescent="0.25">
      <c r="K230" s="7"/>
      <c r="L230" s="7"/>
    </row>
    <row r="231" spans="11:12" x14ac:dyDescent="0.25">
      <c r="K231" s="7"/>
      <c r="L231" s="7"/>
    </row>
    <row r="232" spans="11:12" x14ac:dyDescent="0.25">
      <c r="K232" s="7"/>
      <c r="L232" s="7"/>
    </row>
    <row r="233" spans="11:12" x14ac:dyDescent="0.25">
      <c r="K233" s="7"/>
      <c r="L233" s="7"/>
    </row>
    <row r="234" spans="11:12" x14ac:dyDescent="0.25">
      <c r="K234" s="7"/>
      <c r="L234" s="7"/>
    </row>
    <row r="235" spans="11:12" x14ac:dyDescent="0.25">
      <c r="K235" s="7"/>
      <c r="L235" s="7"/>
    </row>
    <row r="236" spans="11:12" x14ac:dyDescent="0.25">
      <c r="K236" s="7"/>
      <c r="L236" s="7"/>
    </row>
    <row r="237" spans="11:12" x14ac:dyDescent="0.25">
      <c r="K237" s="7"/>
      <c r="L237" s="7"/>
    </row>
    <row r="238" spans="11:12" x14ac:dyDescent="0.25">
      <c r="K238" s="7"/>
      <c r="L238" s="7"/>
    </row>
    <row r="239" spans="11:12" x14ac:dyDescent="0.25">
      <c r="K239" s="7"/>
      <c r="L239" s="7"/>
    </row>
    <row r="240" spans="11:12" x14ac:dyDescent="0.25">
      <c r="K240" s="7"/>
      <c r="L240" s="7"/>
    </row>
    <row r="241" spans="11:12" x14ac:dyDescent="0.25">
      <c r="K241" s="7"/>
      <c r="L241" s="7"/>
    </row>
    <row r="242" spans="11:12" x14ac:dyDescent="0.25">
      <c r="K242" s="7"/>
      <c r="L242" s="7"/>
    </row>
    <row r="243" spans="11:12" x14ac:dyDescent="0.25">
      <c r="K243" s="7"/>
      <c r="L243" s="7"/>
    </row>
    <row r="244" spans="11:12" x14ac:dyDescent="0.25">
      <c r="K244" s="7"/>
      <c r="L244" s="7"/>
    </row>
    <row r="245" spans="11:12" x14ac:dyDescent="0.25">
      <c r="K245" s="7"/>
      <c r="L245" s="7"/>
    </row>
    <row r="246" spans="11:12" x14ac:dyDescent="0.25">
      <c r="K246" s="7"/>
      <c r="L246" s="7"/>
    </row>
    <row r="247" spans="11:12" x14ac:dyDescent="0.25">
      <c r="K247" s="7"/>
      <c r="L247" s="7"/>
    </row>
    <row r="248" spans="11:12" x14ac:dyDescent="0.25">
      <c r="K248" s="7"/>
      <c r="L248" s="7"/>
    </row>
    <row r="249" spans="11:12" x14ac:dyDescent="0.25">
      <c r="K249" s="7"/>
      <c r="L249" s="7"/>
    </row>
    <row r="250" spans="11:12" x14ac:dyDescent="0.25">
      <c r="K250" s="7"/>
      <c r="L250" s="7"/>
    </row>
    <row r="251" spans="11:12" x14ac:dyDescent="0.25">
      <c r="K251" s="7"/>
      <c r="L251" s="7"/>
    </row>
    <row r="252" spans="11:12" x14ac:dyDescent="0.25">
      <c r="K252" s="7"/>
      <c r="L252" s="7"/>
    </row>
    <row r="253" spans="11:12" x14ac:dyDescent="0.25">
      <c r="K253" s="7"/>
      <c r="L253" s="7"/>
    </row>
    <row r="254" spans="11:12" x14ac:dyDescent="0.25">
      <c r="K254" s="7"/>
      <c r="L254" s="7"/>
    </row>
    <row r="255" spans="11:12" x14ac:dyDescent="0.25">
      <c r="K255" s="7"/>
      <c r="L255" s="7"/>
    </row>
    <row r="256" spans="11:12" x14ac:dyDescent="0.25">
      <c r="K256" s="7"/>
      <c r="L256" s="7"/>
    </row>
    <row r="257" spans="11:12" x14ac:dyDescent="0.25">
      <c r="K257" s="7"/>
      <c r="L257" s="7"/>
    </row>
  </sheetData>
  <sheetProtection sheet="1" objects="1" scenarios="1" sort="0" autoFilter="0"/>
  <autoFilter ref="C20:M257" xr:uid="{5C377071-ECAE-4C1B-A24C-0214233C133E}"/>
  <conditionalFormatting sqref="C21:F1000">
    <cfRule type="expression" dxfId="19" priority="1">
      <formula>$C21&lt;&gt;""</formula>
    </cfRule>
    <cfRule type="expression" dxfId="18" priority="2">
      <formula>AND(activeRow_Workers=ROW(A21),$C21&lt;&gt;"")</formula>
    </cfRule>
  </conditionalFormatting>
  <conditionalFormatting sqref="G21:M1000">
    <cfRule type="expression" dxfId="17" priority="9">
      <formula>$C21&lt;&gt;""</formula>
    </cfRule>
    <cfRule type="expression" dxfId="16" priority="10">
      <formula>AND(activeRow_Workers=ROW(D21),$C21&lt;&gt;"")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elete_Worker">
                <anchor moveWithCells="1" sizeWithCells="1">
                  <from>
                    <xdr:col>5</xdr:col>
                    <xdr:colOff>523875</xdr:colOff>
                    <xdr:row>6</xdr:row>
                    <xdr:rowOff>133350</xdr:rowOff>
                  </from>
                  <to>
                    <xdr:col>5</xdr:col>
                    <xdr:colOff>1495425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OpenForm_AddNewWorker">
                <anchor moveWithCells="1" sizeWithCells="1">
                  <from>
                    <xdr:col>2</xdr:col>
                    <xdr:colOff>561975</xdr:colOff>
                    <xdr:row>6</xdr:row>
                    <xdr:rowOff>123825</xdr:rowOff>
                  </from>
                  <to>
                    <xdr:col>3</xdr:col>
                    <xdr:colOff>923925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OpenForm_EditWorker">
                <anchor moveWithCells="1" sizeWithCells="1">
                  <from>
                    <xdr:col>4</xdr:col>
                    <xdr:colOff>190500</xdr:colOff>
                    <xdr:row>6</xdr:row>
                    <xdr:rowOff>114300</xdr:rowOff>
                  </from>
                  <to>
                    <xdr:col>5</xdr:col>
                    <xdr:colOff>276225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20DC8-0FEF-42CF-B10A-C3901DD0A93F}">
  <sheetPr codeName="Arkusz10">
    <tabColor theme="0" tint="-0.249977111117893"/>
  </sheetPr>
  <dimension ref="A1:Y241"/>
  <sheetViews>
    <sheetView showGridLines="0" workbookViewId="0">
      <pane ySplit="20" topLeftCell="A21" activePane="bottomLeft" state="frozen"/>
      <selection pane="bottomLeft" activeCell="F21" sqref="F21"/>
    </sheetView>
  </sheetViews>
  <sheetFormatPr defaultColWidth="0" defaultRowHeight="15" x14ac:dyDescent="0.25"/>
  <cols>
    <col min="1" max="3" width="9.140625" customWidth="1"/>
    <col min="4" max="4" width="30.7109375" customWidth="1"/>
    <col min="5" max="5" width="13.7109375" customWidth="1"/>
    <col min="6" max="7" width="17.5703125" customWidth="1"/>
    <col min="8" max="22" width="9.140625" customWidth="1"/>
    <col min="23" max="25" width="0" hidden="1" customWidth="1"/>
    <col min="26" max="16384" width="9.140625" hidden="1"/>
  </cols>
  <sheetData>
    <row r="1" spans="1:25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</row>
    <row r="2" spans="1:25" ht="26.25" x14ac:dyDescent="0.4">
      <c r="A2" s="8"/>
      <c r="B2" s="8"/>
      <c r="C2" s="8"/>
      <c r="D2" s="9" t="s">
        <v>52</v>
      </c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</row>
    <row r="3" spans="1:25" x14ac:dyDescent="0.2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</row>
    <row r="4" spans="1:25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</row>
    <row r="5" spans="1:25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</row>
    <row r="6" spans="1:25" ht="15.75" thickBot="1" x14ac:dyDescent="0.3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</row>
    <row r="9" spans="1:25" ht="15.75" x14ac:dyDescent="0.25">
      <c r="C9" s="26" t="s">
        <v>27</v>
      </c>
      <c r="D9" s="20">
        <v>2022</v>
      </c>
    </row>
    <row r="11" spans="1:25" hidden="1" x14ac:dyDescent="0.25"/>
    <row r="12" spans="1:25" hidden="1" x14ac:dyDescent="0.25"/>
    <row r="13" spans="1:25" hidden="1" x14ac:dyDescent="0.25"/>
    <row r="14" spans="1:25" hidden="1" x14ac:dyDescent="0.25"/>
    <row r="15" spans="1:25" hidden="1" x14ac:dyDescent="0.25"/>
    <row r="16" spans="1:25" hidden="1" x14ac:dyDescent="0.25">
      <c r="D16" s="23"/>
    </row>
    <row r="17" spans="3:7" hidden="1" x14ac:dyDescent="0.25">
      <c r="D17" s="23"/>
    </row>
    <row r="18" spans="3:7" x14ac:dyDescent="0.25">
      <c r="D18" s="23"/>
    </row>
    <row r="19" spans="3:7" x14ac:dyDescent="0.25">
      <c r="D19" s="23"/>
    </row>
    <row r="20" spans="3:7" ht="31.5" x14ac:dyDescent="0.25">
      <c r="C20" s="11" t="s">
        <v>29</v>
      </c>
      <c r="D20" s="12" t="s">
        <v>55</v>
      </c>
      <c r="E20" s="11" t="s">
        <v>53</v>
      </c>
      <c r="F20" s="12" t="s">
        <v>54</v>
      </c>
      <c r="G20" s="12" t="s">
        <v>116</v>
      </c>
    </row>
    <row r="21" spans="3:7" x14ac:dyDescent="0.25">
      <c r="C21" s="5"/>
      <c r="D21" s="5"/>
      <c r="E21" s="5"/>
      <c r="F21" s="5"/>
      <c r="G21" s="5"/>
    </row>
    <row r="22" spans="3:7" x14ac:dyDescent="0.25">
      <c r="C22" s="5"/>
      <c r="D22" s="5"/>
      <c r="E22" s="5"/>
      <c r="F22" s="5"/>
      <c r="G22" s="5"/>
    </row>
    <row r="23" spans="3:7" x14ac:dyDescent="0.25">
      <c r="C23" s="5"/>
      <c r="D23" s="5"/>
      <c r="E23" s="5"/>
      <c r="F23" s="5"/>
      <c r="G23" s="5"/>
    </row>
    <row r="66" spans="4:4" x14ac:dyDescent="0.25">
      <c r="D66" s="23"/>
    </row>
    <row r="68" spans="4:4" x14ac:dyDescent="0.25">
      <c r="D68" s="23"/>
    </row>
    <row r="100" spans="4:4" x14ac:dyDescent="0.25">
      <c r="D100" s="23"/>
    </row>
    <row r="109" spans="4:4" x14ac:dyDescent="0.25">
      <c r="D109" s="23"/>
    </row>
    <row r="111" spans="4:4" x14ac:dyDescent="0.25">
      <c r="D111" s="23"/>
    </row>
    <row r="143" spans="4:4" x14ac:dyDescent="0.25">
      <c r="D143" s="23"/>
    </row>
    <row r="189" spans="4:4" x14ac:dyDescent="0.25">
      <c r="D189" s="23"/>
    </row>
    <row r="216" spans="4:4" x14ac:dyDescent="0.25">
      <c r="D216" s="23"/>
    </row>
    <row r="241" spans="4:4" x14ac:dyDescent="0.25">
      <c r="D241" s="23"/>
    </row>
  </sheetData>
  <sheetProtection sheet="1" objects="1" scenarios="1" sort="0" autoFilter="0"/>
  <autoFilter ref="C20:G24" xr:uid="{E3720DC8-0FEF-42CF-B10A-C3901DD0A93F}"/>
  <conditionalFormatting sqref="C21:G5500">
    <cfRule type="expression" dxfId="15" priority="1">
      <formula>$C21&lt;&gt;""</formula>
    </cfRule>
    <cfRule type="expression" dxfId="14" priority="2">
      <formula>AND(activeRow_DaysOfVacation=ROW(A21),$C21&lt;&gt;"")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OpenForm_daysOfVacation_pickYear">
                <anchor moveWithCells="1">
                  <from>
                    <xdr:col>4</xdr:col>
                    <xdr:colOff>133350</xdr:colOff>
                    <xdr:row>7</xdr:row>
                    <xdr:rowOff>57150</xdr:rowOff>
                  </from>
                  <to>
                    <xdr:col>5</xdr:col>
                    <xdr:colOff>142875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OpenForm_daysOfVacation_editor">
                <anchor moveWithCells="1">
                  <from>
                    <xdr:col>5</xdr:col>
                    <xdr:colOff>371475</xdr:colOff>
                    <xdr:row>7</xdr:row>
                    <xdr:rowOff>28575</xdr:rowOff>
                  </from>
                  <to>
                    <xdr:col>6</xdr:col>
                    <xdr:colOff>342900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sortAZ">
                <anchor moveWithCells="1">
                  <from>
                    <xdr:col>3</xdr:col>
                    <xdr:colOff>285750</xdr:colOff>
                    <xdr:row>9</xdr:row>
                    <xdr:rowOff>180975</xdr:rowOff>
                  </from>
                  <to>
                    <xdr:col>3</xdr:col>
                    <xdr:colOff>895350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sortZA">
                <anchor moveWithCells="1">
                  <from>
                    <xdr:col>3</xdr:col>
                    <xdr:colOff>1038225</xdr:colOff>
                    <xdr:row>9</xdr:row>
                    <xdr:rowOff>161925</xdr:rowOff>
                  </from>
                  <to>
                    <xdr:col>3</xdr:col>
                    <xdr:colOff>1647825</xdr:colOff>
                    <xdr:row>18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1EBE5-CDA5-4EFD-B991-19EC35AA9C5A}">
  <sheetPr codeName="Arkusz6">
    <tabColor theme="0" tint="-0.249977111117893"/>
  </sheetPr>
  <dimension ref="A1:R25"/>
  <sheetViews>
    <sheetView showGridLines="0" workbookViewId="0">
      <selection activeCell="J21" sqref="J21"/>
    </sheetView>
  </sheetViews>
  <sheetFormatPr defaultColWidth="0" defaultRowHeight="15" x14ac:dyDescent="0.25"/>
  <cols>
    <col min="1" max="2" width="9.140625" customWidth="1"/>
    <col min="3" max="3" width="10.42578125" customWidth="1"/>
    <col min="4" max="4" width="44.140625" customWidth="1"/>
    <col min="5" max="9" width="9.140625" customWidth="1"/>
    <col min="10" max="10" width="24.5703125" customWidth="1"/>
    <col min="11" max="12" width="13.140625" customWidth="1"/>
    <col min="13" max="18" width="9.140625" customWidth="1"/>
    <col min="19" max="16384" width="9.140625" hidden="1"/>
  </cols>
  <sheetData>
    <row r="1" spans="1:18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</row>
    <row r="2" spans="1:18" ht="26.25" x14ac:dyDescent="0.4">
      <c r="A2" s="8"/>
      <c r="B2" s="8"/>
      <c r="C2" s="8"/>
      <c r="D2" s="9" t="s">
        <v>10</v>
      </c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</row>
    <row r="3" spans="1:18" x14ac:dyDescent="0.2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</row>
    <row r="4" spans="1:18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</row>
    <row r="5" spans="1:18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</row>
    <row r="6" spans="1:18" ht="15.75" thickBot="1" x14ac:dyDescent="0.3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x14ac:dyDescent="0.25">
      <c r="A7" s="1"/>
      <c r="B7" s="1"/>
      <c r="C7" s="1"/>
      <c r="D7" s="1"/>
      <c r="E7" s="1"/>
      <c r="F7" s="1"/>
      <c r="G7" s="1"/>
    </row>
    <row r="10" spans="1:18" hidden="1" x14ac:dyDescent="0.25"/>
    <row r="11" spans="1:18" hidden="1" x14ac:dyDescent="0.25"/>
    <row r="12" spans="1:18" hidden="1" x14ac:dyDescent="0.25"/>
    <row r="13" spans="1:18" hidden="1" x14ac:dyDescent="0.25"/>
    <row r="14" spans="1:18" hidden="1" x14ac:dyDescent="0.25"/>
    <row r="15" spans="1:18" hidden="1" x14ac:dyDescent="0.25"/>
    <row r="16" spans="1:18" hidden="1" x14ac:dyDescent="0.25"/>
    <row r="17" spans="3:12" hidden="1" x14ac:dyDescent="0.25"/>
    <row r="18" spans="3:12" hidden="1" x14ac:dyDescent="0.25"/>
    <row r="19" spans="3:12" ht="18.75" x14ac:dyDescent="0.3">
      <c r="I19" s="17" t="s">
        <v>22</v>
      </c>
    </row>
    <row r="20" spans="3:12" ht="31.5" x14ac:dyDescent="0.25">
      <c r="C20" s="11" t="s">
        <v>11</v>
      </c>
      <c r="D20" s="11" t="s">
        <v>12</v>
      </c>
      <c r="I20" s="12" t="s">
        <v>18</v>
      </c>
      <c r="J20" s="12" t="s">
        <v>19</v>
      </c>
      <c r="K20" s="12" t="s">
        <v>21</v>
      </c>
      <c r="L20" s="12" t="s">
        <v>20</v>
      </c>
    </row>
    <row r="21" spans="3:12" x14ac:dyDescent="0.25">
      <c r="C21" s="5"/>
      <c r="D21" s="5"/>
      <c r="I21" s="5"/>
      <c r="J21" s="5"/>
      <c r="K21" s="13"/>
      <c r="L21" s="13"/>
    </row>
    <row r="22" spans="3:12" x14ac:dyDescent="0.25">
      <c r="C22" s="5"/>
      <c r="D22" s="5"/>
      <c r="I22" s="5"/>
      <c r="J22" s="5"/>
      <c r="K22" s="13"/>
      <c r="L22" s="13"/>
    </row>
    <row r="23" spans="3:12" x14ac:dyDescent="0.25">
      <c r="C23" s="5"/>
      <c r="D23" s="5"/>
      <c r="I23" s="5"/>
      <c r="J23" s="5"/>
      <c r="K23" s="13"/>
      <c r="L23" s="13"/>
    </row>
    <row r="24" spans="3:12" x14ac:dyDescent="0.25">
      <c r="C24" s="5"/>
      <c r="D24" s="5"/>
      <c r="K24" s="16"/>
      <c r="L24" s="16"/>
    </row>
    <row r="25" spans="3:12" x14ac:dyDescent="0.25">
      <c r="K25" s="16"/>
      <c r="L25" s="16"/>
    </row>
  </sheetData>
  <sheetProtection sheet="1" objects="1" scenarios="1"/>
  <conditionalFormatting sqref="C21:D350">
    <cfRule type="expression" dxfId="13" priority="3">
      <formula>AND(activeRow_Groups=ROW(A21),$C21&lt;&gt;"")</formula>
    </cfRule>
    <cfRule type="expression" dxfId="12" priority="4">
      <formula>$C21&lt;&gt;""</formula>
    </cfRule>
  </conditionalFormatting>
  <conditionalFormatting sqref="I21:L360">
    <cfRule type="expression" dxfId="11" priority="1">
      <formula>$I21&lt;&gt;""</formula>
    </cfRule>
    <cfRule type="expression" dxfId="10" priority="2">
      <formula>AND(activeRow_GroupsShifts=ROW(A21),$I21&lt;&gt;"")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OpenForm_AddNewGroup">
                <anchor moveWithCells="1" sizeWithCells="1">
                  <from>
                    <xdr:col>2</xdr:col>
                    <xdr:colOff>114300</xdr:colOff>
                    <xdr:row>6</xdr:row>
                    <xdr:rowOff>152400</xdr:rowOff>
                  </from>
                  <to>
                    <xdr:col>3</xdr:col>
                    <xdr:colOff>466725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OpenForm_EditGroup">
                <anchor moveWithCells="1" sizeWithCells="1">
                  <from>
                    <xdr:col>3</xdr:col>
                    <xdr:colOff>638175</xdr:colOff>
                    <xdr:row>6</xdr:row>
                    <xdr:rowOff>142875</xdr:rowOff>
                  </from>
                  <to>
                    <xdr:col>3</xdr:col>
                    <xdr:colOff>1571625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delete_Group">
                <anchor moveWithCells="1" sizeWithCells="1">
                  <from>
                    <xdr:col>3</xdr:col>
                    <xdr:colOff>1790700</xdr:colOff>
                    <xdr:row>6</xdr:row>
                    <xdr:rowOff>152400</xdr:rowOff>
                  </from>
                  <to>
                    <xdr:col>3</xdr:col>
                    <xdr:colOff>2581275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OpenForm_ShiftToGroup">
                <anchor moveWithCells="1" sizeWithCells="1">
                  <from>
                    <xdr:col>8</xdr:col>
                    <xdr:colOff>47625</xdr:colOff>
                    <xdr:row>6</xdr:row>
                    <xdr:rowOff>104775</xdr:rowOff>
                  </from>
                  <to>
                    <xdr:col>9</xdr:col>
                    <xdr:colOff>485775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delete_ShiftOfGroup">
                <anchor moveWithCells="1" sizeWithCells="1">
                  <from>
                    <xdr:col>9</xdr:col>
                    <xdr:colOff>666750</xdr:colOff>
                    <xdr:row>6</xdr:row>
                    <xdr:rowOff>95250</xdr:rowOff>
                  </from>
                  <to>
                    <xdr:col>10</xdr:col>
                    <xdr:colOff>76200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5AC4B-8819-4B79-B119-67B5D73DBD64}">
  <sheetPr codeName="Arkusz8">
    <tabColor theme="0" tint="-0.249977111117893"/>
  </sheetPr>
  <dimension ref="A1:Q23"/>
  <sheetViews>
    <sheetView showGridLines="0" zoomScaleNormal="100" workbookViewId="0">
      <selection activeCell="D30" sqref="D30"/>
    </sheetView>
  </sheetViews>
  <sheetFormatPr defaultColWidth="0" defaultRowHeight="15" x14ac:dyDescent="0.25"/>
  <cols>
    <col min="1" max="3" width="9.140625" customWidth="1"/>
    <col min="4" max="4" width="33.28515625" customWidth="1"/>
    <col min="5" max="5" width="27.5703125" customWidth="1"/>
    <col min="6" max="9" width="9.140625" customWidth="1"/>
    <col min="10" max="10" width="23.7109375" customWidth="1"/>
    <col min="11" max="12" width="20.140625" customWidth="1"/>
    <col min="13" max="17" width="9.140625" customWidth="1"/>
    <col min="18" max="16384" width="9.140625" hidden="1"/>
  </cols>
  <sheetData>
    <row r="1" spans="1:17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</row>
    <row r="2" spans="1:17" ht="26.25" x14ac:dyDescent="0.4">
      <c r="A2" s="8"/>
      <c r="B2" s="8"/>
      <c r="C2" s="8"/>
      <c r="D2" s="9" t="s">
        <v>13</v>
      </c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</row>
    <row r="3" spans="1:17" x14ac:dyDescent="0.2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</row>
    <row r="4" spans="1:17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</row>
    <row r="5" spans="1:17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</row>
    <row r="6" spans="1:17" ht="15.75" thickBot="1" x14ac:dyDescent="0.3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</row>
    <row r="11" spans="1:17" hidden="1" x14ac:dyDescent="0.25"/>
    <row r="12" spans="1:17" hidden="1" x14ac:dyDescent="0.25"/>
    <row r="13" spans="1:17" hidden="1" x14ac:dyDescent="0.25"/>
    <row r="14" spans="1:17" hidden="1" x14ac:dyDescent="0.25"/>
    <row r="15" spans="1:17" hidden="1" x14ac:dyDescent="0.25"/>
    <row r="16" spans="1:17" hidden="1" x14ac:dyDescent="0.25"/>
    <row r="17" spans="3:5" hidden="1" x14ac:dyDescent="0.25"/>
    <row r="18" spans="3:5" hidden="1" x14ac:dyDescent="0.25"/>
    <row r="19" spans="3:5" hidden="1" x14ac:dyDescent="0.25"/>
    <row r="20" spans="3:5" ht="15.75" x14ac:dyDescent="0.25">
      <c r="C20" s="11" t="s">
        <v>14</v>
      </c>
      <c r="D20" s="11" t="s">
        <v>15</v>
      </c>
      <c r="E20" s="11" t="s">
        <v>16</v>
      </c>
    </row>
    <row r="21" spans="3:5" x14ac:dyDescent="0.25">
      <c r="C21" s="5"/>
      <c r="D21" s="5"/>
      <c r="E21" s="5"/>
    </row>
    <row r="22" spans="3:5" x14ac:dyDescent="0.25">
      <c r="C22" s="5"/>
      <c r="D22" s="5"/>
      <c r="E22" s="5"/>
    </row>
    <row r="23" spans="3:5" x14ac:dyDescent="0.25">
      <c r="C23" s="5"/>
      <c r="D23" s="5"/>
      <c r="E23" s="5"/>
    </row>
  </sheetData>
  <sheetProtection sheet="1" objects="1" scenarios="1"/>
  <conditionalFormatting sqref="C21:E350">
    <cfRule type="expression" dxfId="9" priority="1">
      <formula>AND(activeRow_Sections=ROW(A21),$C21&lt;&gt;"")</formula>
    </cfRule>
    <cfRule type="expression" dxfId="8" priority="2">
      <formula>$C21&lt;&gt;""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OpenForm_AddNewSection">
                <anchor moveWithCells="1">
                  <from>
                    <xdr:col>3</xdr:col>
                    <xdr:colOff>638175</xdr:colOff>
                    <xdr:row>6</xdr:row>
                    <xdr:rowOff>161925</xdr:rowOff>
                  </from>
                  <to>
                    <xdr:col>3</xdr:col>
                    <xdr:colOff>1647825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OpenForm_EditSection">
                <anchor moveWithCells="1">
                  <from>
                    <xdr:col>3</xdr:col>
                    <xdr:colOff>1962150</xdr:colOff>
                    <xdr:row>6</xdr:row>
                    <xdr:rowOff>180975</xdr:rowOff>
                  </from>
                  <to>
                    <xdr:col>4</xdr:col>
                    <xdr:colOff>609600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delete_Section">
                <anchor moveWithCells="1">
                  <from>
                    <xdr:col>4</xdr:col>
                    <xdr:colOff>819150</xdr:colOff>
                    <xdr:row>6</xdr:row>
                    <xdr:rowOff>152400</xdr:rowOff>
                  </from>
                  <to>
                    <xdr:col>4</xdr:col>
                    <xdr:colOff>1685925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2F9DE-74B9-4188-B69E-192D32A24C7B}">
  <sheetPr codeName="Arkusz7">
    <tabColor theme="0" tint="-0.249977111117893"/>
  </sheetPr>
  <dimension ref="A1:Q28"/>
  <sheetViews>
    <sheetView showGridLines="0" workbookViewId="0">
      <selection activeCell="E24" sqref="E24"/>
    </sheetView>
  </sheetViews>
  <sheetFormatPr defaultColWidth="0" defaultRowHeight="15" x14ac:dyDescent="0.25"/>
  <cols>
    <col min="1" max="2" width="9.140625" customWidth="1"/>
    <col min="3" max="3" width="12" customWidth="1"/>
    <col min="4" max="4" width="28.28515625" customWidth="1"/>
    <col min="5" max="6" width="14.7109375" style="15" customWidth="1"/>
    <col min="7" max="17" width="9.140625" customWidth="1"/>
    <col min="18" max="16384" width="9.140625" hidden="1"/>
  </cols>
  <sheetData>
    <row r="1" spans="1:17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</row>
    <row r="2" spans="1:17" ht="26.25" x14ac:dyDescent="0.4">
      <c r="A2" s="8"/>
      <c r="B2" s="8"/>
      <c r="C2" s="8"/>
      <c r="D2" s="9" t="s">
        <v>17</v>
      </c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</row>
    <row r="3" spans="1:17" x14ac:dyDescent="0.2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</row>
    <row r="4" spans="1:17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</row>
    <row r="5" spans="1:17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</row>
    <row r="6" spans="1:17" ht="15.75" thickBot="1" x14ac:dyDescent="0.3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</row>
    <row r="7" spans="1:17" x14ac:dyDescent="0.25">
      <c r="E7"/>
      <c r="F7"/>
    </row>
    <row r="8" spans="1:17" x14ac:dyDescent="0.25">
      <c r="E8"/>
      <c r="F8"/>
    </row>
    <row r="9" spans="1:17" x14ac:dyDescent="0.25">
      <c r="E9"/>
      <c r="F9"/>
    </row>
    <row r="10" spans="1:17" hidden="1" x14ac:dyDescent="0.25">
      <c r="E10"/>
      <c r="F10"/>
    </row>
    <row r="11" spans="1:17" hidden="1" x14ac:dyDescent="0.25">
      <c r="E11"/>
      <c r="F11"/>
    </row>
    <row r="12" spans="1:17" hidden="1" x14ac:dyDescent="0.25">
      <c r="E12"/>
      <c r="F12"/>
    </row>
    <row r="13" spans="1:17" hidden="1" x14ac:dyDescent="0.25">
      <c r="E13"/>
      <c r="F13"/>
    </row>
    <row r="14" spans="1:17" hidden="1" x14ac:dyDescent="0.25">
      <c r="E14"/>
      <c r="F14"/>
    </row>
    <row r="15" spans="1:17" hidden="1" x14ac:dyDescent="0.25">
      <c r="E15"/>
      <c r="F15"/>
    </row>
    <row r="16" spans="1:17" hidden="1" x14ac:dyDescent="0.25">
      <c r="E16"/>
      <c r="F16"/>
    </row>
    <row r="17" spans="3:6" hidden="1" x14ac:dyDescent="0.25">
      <c r="E17"/>
      <c r="F17"/>
    </row>
    <row r="18" spans="3:6" hidden="1" x14ac:dyDescent="0.25">
      <c r="E18"/>
      <c r="F18"/>
    </row>
    <row r="19" spans="3:6" x14ac:dyDescent="0.25">
      <c r="E19"/>
      <c r="F19"/>
    </row>
    <row r="20" spans="3:6" ht="31.5" x14ac:dyDescent="0.25">
      <c r="C20" s="11" t="s">
        <v>18</v>
      </c>
      <c r="D20" s="12" t="s">
        <v>19</v>
      </c>
      <c r="E20" s="12" t="s">
        <v>21</v>
      </c>
      <c r="F20" s="12" t="s">
        <v>20</v>
      </c>
    </row>
    <row r="21" spans="3:6" x14ac:dyDescent="0.25">
      <c r="C21" s="5"/>
      <c r="D21" s="5"/>
      <c r="E21" s="13"/>
      <c r="F21" s="13"/>
    </row>
    <row r="22" spans="3:6" x14ac:dyDescent="0.25">
      <c r="C22" s="5"/>
      <c r="D22" s="5"/>
      <c r="E22" s="13"/>
      <c r="F22" s="13"/>
    </row>
    <row r="23" spans="3:6" x14ac:dyDescent="0.25">
      <c r="C23" s="5"/>
      <c r="D23" s="5"/>
      <c r="E23" s="13"/>
      <c r="F23" s="13"/>
    </row>
    <row r="24" spans="3:6" x14ac:dyDescent="0.25">
      <c r="E24" s="16"/>
      <c r="F24" s="16"/>
    </row>
    <row r="25" spans="3:6" x14ac:dyDescent="0.25">
      <c r="E25" s="16"/>
      <c r="F25" s="16"/>
    </row>
    <row r="26" spans="3:6" x14ac:dyDescent="0.25">
      <c r="E26" s="16"/>
      <c r="F26" s="16"/>
    </row>
    <row r="27" spans="3:6" x14ac:dyDescent="0.25">
      <c r="E27" s="16"/>
      <c r="F27" s="16"/>
    </row>
    <row r="28" spans="3:6" x14ac:dyDescent="0.25">
      <c r="E28" s="16"/>
      <c r="F28" s="16"/>
    </row>
  </sheetData>
  <sheetProtection sheet="1" objects="1" scenarios="1"/>
  <conditionalFormatting sqref="C21:F370">
    <cfRule type="expression" dxfId="7" priority="1">
      <formula>AND(activeRow_Shifts=ROW(A21),$C21&lt;&gt;"")</formula>
    </cfRule>
    <cfRule type="expression" dxfId="6" priority="2">
      <formula>$C21&lt;&gt;""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OpenForm_AddNewShift">
                <anchor moveWithCells="1" sizeWithCells="1">
                  <from>
                    <xdr:col>3</xdr:col>
                    <xdr:colOff>266700</xdr:colOff>
                    <xdr:row>6</xdr:row>
                    <xdr:rowOff>171450</xdr:rowOff>
                  </from>
                  <to>
                    <xdr:col>3</xdr:col>
                    <xdr:colOff>1247775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OpenForm_EditShift">
                <anchor moveWithCells="1" sizeWithCells="1">
                  <from>
                    <xdr:col>3</xdr:col>
                    <xdr:colOff>1447800</xdr:colOff>
                    <xdr:row>6</xdr:row>
                    <xdr:rowOff>161925</xdr:rowOff>
                  </from>
                  <to>
                    <xdr:col>4</xdr:col>
                    <xdr:colOff>533400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delete_Shift">
                <anchor moveWithCells="1" sizeWithCells="1">
                  <from>
                    <xdr:col>4</xdr:col>
                    <xdr:colOff>752475</xdr:colOff>
                    <xdr:row>6</xdr:row>
                    <xdr:rowOff>133350</xdr:rowOff>
                  </from>
                  <to>
                    <xdr:col>5</xdr:col>
                    <xdr:colOff>714375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59C12-3B43-448B-8B18-EECAB24A50E1}">
  <sheetPr codeName="Arkusz1">
    <tabColor theme="0" tint="-0.249977111117893"/>
  </sheetPr>
  <dimension ref="A1:Y35"/>
  <sheetViews>
    <sheetView showGridLines="0" workbookViewId="0">
      <selection activeCell="E27" sqref="E27"/>
    </sheetView>
  </sheetViews>
  <sheetFormatPr defaultColWidth="0" defaultRowHeight="15" x14ac:dyDescent="0.25"/>
  <cols>
    <col min="1" max="2" width="9.140625" customWidth="1"/>
    <col min="3" max="3" width="12.42578125" customWidth="1"/>
    <col min="4" max="4" width="14.28515625" customWidth="1"/>
    <col min="5" max="5" width="33" customWidth="1"/>
    <col min="6" max="6" width="24.5703125" customWidth="1"/>
    <col min="7" max="21" width="9.140625" customWidth="1"/>
    <col min="22" max="25" width="0" hidden="1" customWidth="1"/>
    <col min="26" max="16384" width="9.140625" hidden="1"/>
  </cols>
  <sheetData>
    <row r="1" spans="1:25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</row>
    <row r="2" spans="1:25" ht="26.25" x14ac:dyDescent="0.4">
      <c r="A2" s="8"/>
      <c r="B2" s="8"/>
      <c r="C2" s="8"/>
      <c r="D2" s="9" t="s">
        <v>23</v>
      </c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</row>
    <row r="3" spans="1:25" x14ac:dyDescent="0.2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</row>
    <row r="4" spans="1:25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</row>
    <row r="5" spans="1:25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</row>
    <row r="6" spans="1:25" ht="15.75" thickBot="1" x14ac:dyDescent="0.3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</row>
    <row r="9" spans="1:25" ht="15.75" x14ac:dyDescent="0.25">
      <c r="C9" s="18" t="s">
        <v>27</v>
      </c>
      <c r="D9" s="20">
        <v>2023</v>
      </c>
    </row>
    <row r="11" spans="1:25" hidden="1" x14ac:dyDescent="0.25"/>
    <row r="12" spans="1:25" hidden="1" x14ac:dyDescent="0.25"/>
    <row r="13" spans="1:25" hidden="1" x14ac:dyDescent="0.25"/>
    <row r="14" spans="1:25" hidden="1" x14ac:dyDescent="0.25"/>
    <row r="15" spans="1:25" hidden="1" x14ac:dyDescent="0.25"/>
    <row r="20" spans="3:5" ht="15.75" x14ac:dyDescent="0.25">
      <c r="C20" s="11" t="s">
        <v>24</v>
      </c>
      <c r="D20" s="12" t="s">
        <v>25</v>
      </c>
      <c r="E20" s="12" t="s">
        <v>26</v>
      </c>
    </row>
    <row r="21" spans="3:5" x14ac:dyDescent="0.25">
      <c r="C21" s="5"/>
      <c r="D21" s="6"/>
      <c r="E21" s="5"/>
    </row>
    <row r="22" spans="3:5" x14ac:dyDescent="0.25">
      <c r="C22" s="5"/>
      <c r="D22" s="6"/>
      <c r="E22" s="5"/>
    </row>
    <row r="23" spans="3:5" x14ac:dyDescent="0.25">
      <c r="C23" s="5"/>
      <c r="D23" s="6"/>
      <c r="E23" s="5"/>
    </row>
    <row r="24" spans="3:5" x14ac:dyDescent="0.25">
      <c r="D24" s="7"/>
      <c r="E24" s="23"/>
    </row>
    <row r="25" spans="3:5" x14ac:dyDescent="0.25">
      <c r="D25" s="7"/>
    </row>
    <row r="26" spans="3:5" x14ac:dyDescent="0.25">
      <c r="D26" s="7"/>
    </row>
    <row r="27" spans="3:5" x14ac:dyDescent="0.25">
      <c r="D27" s="7"/>
    </row>
    <row r="28" spans="3:5" x14ac:dyDescent="0.25">
      <c r="D28" s="7"/>
    </row>
    <row r="29" spans="3:5" x14ac:dyDescent="0.25">
      <c r="D29" s="7"/>
    </row>
    <row r="30" spans="3:5" x14ac:dyDescent="0.25">
      <c r="D30" s="7"/>
    </row>
    <row r="31" spans="3:5" x14ac:dyDescent="0.25">
      <c r="D31" s="7"/>
    </row>
    <row r="32" spans="3:5" x14ac:dyDescent="0.25">
      <c r="D32" s="7"/>
    </row>
    <row r="33" spans="4:4" x14ac:dyDescent="0.25">
      <c r="D33" s="7"/>
    </row>
    <row r="34" spans="4:4" x14ac:dyDescent="0.25">
      <c r="D34" s="7"/>
    </row>
    <row r="35" spans="4:4" x14ac:dyDescent="0.25">
      <c r="D35" s="7"/>
    </row>
  </sheetData>
  <sheetProtection sheet="1" objects="1" scenarios="1"/>
  <conditionalFormatting sqref="C21:E3200">
    <cfRule type="expression" dxfId="5" priority="1">
      <formula>$C21&lt;&gt;""</formula>
    </cfRule>
    <cfRule type="expression" dxfId="4" priority="2">
      <formula>AND(activeRow_Holidays=ROW(A21),$C21&lt;&gt;"")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infoAboutHoliday">
                <anchor moveWithCells="1" sizeWithCells="1">
                  <from>
                    <xdr:col>4</xdr:col>
                    <xdr:colOff>1333500</xdr:colOff>
                    <xdr:row>16</xdr:row>
                    <xdr:rowOff>133350</xdr:rowOff>
                  </from>
                  <to>
                    <xdr:col>4</xdr:col>
                    <xdr:colOff>2124075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OpenForm_HolidaysAdd">
                <anchor moveWithCells="1">
                  <from>
                    <xdr:col>2</xdr:col>
                    <xdr:colOff>190500</xdr:colOff>
                    <xdr:row>15</xdr:row>
                    <xdr:rowOff>133350</xdr:rowOff>
                  </from>
                  <to>
                    <xdr:col>3</xdr:col>
                    <xdr:colOff>371475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delete_Holiday">
                <anchor moveWithCells="1">
                  <from>
                    <xdr:col>3</xdr:col>
                    <xdr:colOff>609600</xdr:colOff>
                    <xdr:row>15</xdr:row>
                    <xdr:rowOff>123825</xdr:rowOff>
                  </from>
                  <to>
                    <xdr:col>4</xdr:col>
                    <xdr:colOff>666750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Button 4">
              <controlPr defaultSize="0" print="0" autoFill="0" autoPict="0" macro="[0]!OpenForm_pickYear">
                <anchor moveWithCells="1">
                  <from>
                    <xdr:col>4</xdr:col>
                    <xdr:colOff>66675</xdr:colOff>
                    <xdr:row>8</xdr:row>
                    <xdr:rowOff>9525</xdr:rowOff>
                  </from>
                  <to>
                    <xdr:col>4</xdr:col>
                    <xdr:colOff>771525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7841A-0DD8-48D6-A553-7A6D31AF9EF9}">
  <sheetPr codeName="Arkusz3">
    <tabColor theme="0" tint="-0.249977111117893"/>
  </sheetPr>
  <dimension ref="A1:U21"/>
  <sheetViews>
    <sheetView showGridLines="0" workbookViewId="0">
      <selection activeCell="E21" sqref="E21"/>
    </sheetView>
  </sheetViews>
  <sheetFormatPr defaultColWidth="0" defaultRowHeight="15" x14ac:dyDescent="0.25"/>
  <cols>
    <col min="1" max="3" width="9.140625" customWidth="1"/>
    <col min="4" max="4" width="17" customWidth="1"/>
    <col min="5" max="5" width="34.7109375" style="23" customWidth="1"/>
    <col min="6" max="6" width="53" style="23" customWidth="1"/>
    <col min="7" max="21" width="9.140625" customWidth="1"/>
    <col min="22" max="16384" width="9.140625" hidden="1"/>
  </cols>
  <sheetData>
    <row r="1" spans="1:21" x14ac:dyDescent="0.25">
      <c r="A1" s="8"/>
      <c r="B1" s="8"/>
      <c r="C1" s="8"/>
      <c r="D1" s="8"/>
      <c r="E1" s="21"/>
      <c r="F1" s="21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</row>
    <row r="2" spans="1:21" ht="26.25" x14ac:dyDescent="0.4">
      <c r="A2" s="8"/>
      <c r="B2" s="8"/>
      <c r="C2" s="8"/>
      <c r="D2" s="9" t="s">
        <v>28</v>
      </c>
      <c r="E2" s="21"/>
      <c r="F2" s="21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</row>
    <row r="3" spans="1:21" x14ac:dyDescent="0.25">
      <c r="A3" s="8"/>
      <c r="B3" s="8"/>
      <c r="C3" s="8"/>
      <c r="D3" s="8"/>
      <c r="E3" s="21"/>
      <c r="F3" s="21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</row>
    <row r="4" spans="1:21" x14ac:dyDescent="0.25">
      <c r="A4" s="8"/>
      <c r="B4" s="8"/>
      <c r="C4" s="8"/>
      <c r="D4" s="8"/>
      <c r="E4" s="21"/>
      <c r="F4" s="21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</row>
    <row r="5" spans="1:21" x14ac:dyDescent="0.25">
      <c r="A5" s="8"/>
      <c r="B5" s="8"/>
      <c r="C5" s="8"/>
      <c r="D5" s="8"/>
      <c r="E5" s="21"/>
      <c r="F5" s="21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</row>
    <row r="6" spans="1:21" ht="15.75" thickBot="1" x14ac:dyDescent="0.3">
      <c r="A6" s="10"/>
      <c r="B6" s="10"/>
      <c r="C6" s="10"/>
      <c r="D6" s="10"/>
      <c r="E6" s="22"/>
      <c r="F6" s="22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</row>
    <row r="9" spans="1:21" hidden="1" x14ac:dyDescent="0.25"/>
    <row r="10" spans="1:21" hidden="1" x14ac:dyDescent="0.25"/>
    <row r="11" spans="1:21" hidden="1" x14ac:dyDescent="0.25"/>
    <row r="12" spans="1:21" hidden="1" x14ac:dyDescent="0.25"/>
    <row r="13" spans="1:21" hidden="1" x14ac:dyDescent="0.25"/>
    <row r="14" spans="1:21" hidden="1" x14ac:dyDescent="0.25"/>
    <row r="15" spans="1:21" hidden="1" x14ac:dyDescent="0.25"/>
    <row r="16" spans="1:21" hidden="1" x14ac:dyDescent="0.25"/>
    <row r="17" spans="3:6" hidden="1" x14ac:dyDescent="0.25"/>
    <row r="18" spans="3:6" hidden="1" x14ac:dyDescent="0.25"/>
    <row r="20" spans="3:6" ht="15.75" x14ac:dyDescent="0.25">
      <c r="C20" s="11" t="s">
        <v>29</v>
      </c>
      <c r="D20" s="12" t="s">
        <v>30</v>
      </c>
      <c r="E20" s="12" t="s">
        <v>31</v>
      </c>
      <c r="F20" s="12" t="s">
        <v>32</v>
      </c>
    </row>
    <row r="21" spans="3:6" x14ac:dyDescent="0.25">
      <c r="C21" s="5"/>
      <c r="D21" s="6"/>
      <c r="E21" s="24"/>
      <c r="F21" s="24"/>
    </row>
  </sheetData>
  <sheetProtection sheet="1" objects="1" scenarios="1"/>
  <conditionalFormatting sqref="C21:F250">
    <cfRule type="expression" dxfId="3" priority="1">
      <formula>$C21&lt;&gt;""</formula>
    </cfRule>
    <cfRule type="expression" dxfId="2" priority="2">
      <formula>AND(activeRow_AbsenceTypes=ROW(A21),$C21&lt;&gt;"")</formula>
    </cfRule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998FB-814C-4FD0-8E4F-AA8FEBA9D41F}">
  <sheetPr codeName="Arkusz9">
    <tabColor theme="0" tint="-0.249977111117893"/>
  </sheetPr>
  <dimension ref="A1:U44"/>
  <sheetViews>
    <sheetView showGridLines="0" workbookViewId="0">
      <selection activeCell="E28" sqref="E28"/>
    </sheetView>
  </sheetViews>
  <sheetFormatPr defaultColWidth="0" defaultRowHeight="15" x14ac:dyDescent="0.25"/>
  <cols>
    <col min="1" max="3" width="9.140625" customWidth="1"/>
    <col min="4" max="6" width="29.7109375" customWidth="1"/>
    <col min="7" max="21" width="9.140625" customWidth="1"/>
    <col min="22" max="16384" width="9.140625" hidden="1"/>
  </cols>
  <sheetData>
    <row r="1" spans="1:21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</row>
    <row r="2" spans="1:21" ht="26.25" x14ac:dyDescent="0.4">
      <c r="A2" s="8"/>
      <c r="B2" s="8"/>
      <c r="C2" s="8"/>
      <c r="D2" s="9" t="s">
        <v>49</v>
      </c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</row>
    <row r="3" spans="1:21" x14ac:dyDescent="0.2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</row>
    <row r="4" spans="1:21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</row>
    <row r="5" spans="1:21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</row>
    <row r="6" spans="1:21" ht="15.75" thickBot="1" x14ac:dyDescent="0.3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</row>
    <row r="10" spans="1:21" hidden="1" x14ac:dyDescent="0.25"/>
    <row r="11" spans="1:21" hidden="1" x14ac:dyDescent="0.25"/>
    <row r="12" spans="1:21" hidden="1" x14ac:dyDescent="0.25"/>
    <row r="13" spans="1:21" hidden="1" x14ac:dyDescent="0.25"/>
    <row r="14" spans="1:21" hidden="1" x14ac:dyDescent="0.25"/>
    <row r="15" spans="1:21" hidden="1" x14ac:dyDescent="0.25"/>
    <row r="16" spans="1:21" hidden="1" x14ac:dyDescent="0.25"/>
    <row r="17" spans="3:5" hidden="1" x14ac:dyDescent="0.25"/>
    <row r="18" spans="3:5" hidden="1" x14ac:dyDescent="0.25"/>
    <row r="20" spans="3:5" ht="15.75" x14ac:dyDescent="0.25">
      <c r="C20" s="11" t="s">
        <v>29</v>
      </c>
      <c r="D20" s="12" t="s">
        <v>50</v>
      </c>
      <c r="E20" s="12" t="s">
        <v>51</v>
      </c>
    </row>
    <row r="21" spans="3:5" x14ac:dyDescent="0.25">
      <c r="C21" s="5"/>
      <c r="D21" s="14"/>
      <c r="E21" s="25"/>
    </row>
    <row r="22" spans="3:5" x14ac:dyDescent="0.25">
      <c r="D22" s="15"/>
      <c r="E22" s="15"/>
    </row>
    <row r="23" spans="3:5" x14ac:dyDescent="0.25">
      <c r="D23" s="15"/>
      <c r="E23" s="15"/>
    </row>
    <row r="24" spans="3:5" x14ac:dyDescent="0.25">
      <c r="D24" s="15"/>
      <c r="E24" s="15"/>
    </row>
    <row r="25" spans="3:5" x14ac:dyDescent="0.25">
      <c r="D25" s="15"/>
      <c r="E25" s="15"/>
    </row>
    <row r="26" spans="3:5" x14ac:dyDescent="0.25">
      <c r="D26" s="15"/>
      <c r="E26" s="15"/>
    </row>
    <row r="27" spans="3:5" x14ac:dyDescent="0.25">
      <c r="D27" s="15"/>
      <c r="E27" s="15"/>
    </row>
    <row r="28" spans="3:5" x14ac:dyDescent="0.25">
      <c r="D28" s="15"/>
      <c r="E28" s="15"/>
    </row>
    <row r="29" spans="3:5" x14ac:dyDescent="0.25">
      <c r="D29" s="15"/>
      <c r="E29" s="15"/>
    </row>
    <row r="30" spans="3:5" x14ac:dyDescent="0.25">
      <c r="D30" s="15"/>
      <c r="E30" s="15"/>
    </row>
    <row r="31" spans="3:5" x14ac:dyDescent="0.25">
      <c r="D31" s="15"/>
      <c r="E31" s="15"/>
    </row>
    <row r="32" spans="3:5" x14ac:dyDescent="0.25">
      <c r="D32" s="15"/>
      <c r="E32" s="15"/>
    </row>
    <row r="33" spans="4:5" x14ac:dyDescent="0.25">
      <c r="D33" s="15"/>
      <c r="E33" s="15"/>
    </row>
    <row r="34" spans="4:5" x14ac:dyDescent="0.25">
      <c r="D34" s="15"/>
      <c r="E34" s="15"/>
    </row>
    <row r="35" spans="4:5" x14ac:dyDescent="0.25">
      <c r="D35" s="15"/>
      <c r="E35" s="15"/>
    </row>
    <row r="36" spans="4:5" x14ac:dyDescent="0.25">
      <c r="D36" s="15"/>
      <c r="E36" s="15"/>
    </row>
    <row r="37" spans="4:5" x14ac:dyDescent="0.25">
      <c r="D37" s="15"/>
      <c r="E37" s="15"/>
    </row>
    <row r="38" spans="4:5" x14ac:dyDescent="0.25">
      <c r="D38" s="15"/>
      <c r="E38" s="15"/>
    </row>
    <row r="39" spans="4:5" x14ac:dyDescent="0.25">
      <c r="D39" s="15"/>
      <c r="E39" s="15"/>
    </row>
    <row r="40" spans="4:5" x14ac:dyDescent="0.25">
      <c r="D40" s="15"/>
      <c r="E40" s="15"/>
    </row>
    <row r="41" spans="4:5" x14ac:dyDescent="0.25">
      <c r="D41" s="15"/>
      <c r="E41" s="15"/>
    </row>
    <row r="42" spans="4:5" x14ac:dyDescent="0.25">
      <c r="D42" s="15"/>
      <c r="E42" s="15"/>
    </row>
    <row r="43" spans="4:5" x14ac:dyDescent="0.25">
      <c r="D43" s="15"/>
      <c r="E43" s="15"/>
    </row>
    <row r="44" spans="4:5" x14ac:dyDescent="0.25">
      <c r="D44" s="15"/>
      <c r="E44" s="15"/>
    </row>
  </sheetData>
  <sheetProtection sheet="1" objects="1" scenarios="1"/>
  <conditionalFormatting sqref="C21:E21">
    <cfRule type="expression" dxfId="1" priority="1">
      <formula>$C21&lt;&gt;""</formula>
    </cfRule>
    <cfRule type="expression" dxfId="0" priority="2">
      <formula>AND(activeRow_NightHours=ROW(A21),$C21&lt;&gt;"")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OpenForm_nightHours_editor">
                <anchor moveWithCells="1">
                  <from>
                    <xdr:col>4</xdr:col>
                    <xdr:colOff>1304925</xdr:colOff>
                    <xdr:row>7</xdr:row>
                    <xdr:rowOff>180975</xdr:rowOff>
                  </from>
                  <to>
                    <xdr:col>4</xdr:col>
                    <xdr:colOff>1914525</xdr:colOff>
                    <xdr:row>18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19</vt:i4>
      </vt:variant>
      <vt:variant>
        <vt:lpstr>Nazwane zakresy</vt:lpstr>
      </vt:variant>
      <vt:variant>
        <vt:i4>16</vt:i4>
      </vt:variant>
    </vt:vector>
  </HeadingPairs>
  <TitlesOfParts>
    <vt:vector size="35" baseType="lpstr">
      <vt:lpstr>HOME</vt:lpstr>
      <vt:lpstr>EWIDENCJA miesięczna</vt:lpstr>
      <vt:lpstr>Rozliczanie pracy</vt:lpstr>
      <vt:lpstr>Niewykorzystany Urlop</vt:lpstr>
      <vt:lpstr>P - Odbiór dni</vt:lpstr>
      <vt:lpstr>P - Uzupełniona Ewidencja</vt:lpstr>
      <vt:lpstr>P - Uzupełniony Urlop</vt:lpstr>
      <vt:lpstr>Z - EWIDENCJA ROCZNA</vt:lpstr>
      <vt:lpstr>Z - stan urlopu na piony</vt:lpstr>
      <vt:lpstr>Z - Stan urlopu na dzień</vt:lpstr>
      <vt:lpstr>Z - Wykaz nieobecnosci</vt:lpstr>
      <vt:lpstr>Pracownicy</vt:lpstr>
      <vt:lpstr>Dni Urlopu</vt:lpstr>
      <vt:lpstr>Grupy</vt:lpstr>
      <vt:lpstr>Piony</vt:lpstr>
      <vt:lpstr>Zmiany</vt:lpstr>
      <vt:lpstr>Święta</vt:lpstr>
      <vt:lpstr>Typy nieobecności</vt:lpstr>
      <vt:lpstr>Godziny nocne</vt:lpstr>
      <vt:lpstr>daysOfVacation_Year</vt:lpstr>
      <vt:lpstr>monthRecord_fireDate</vt:lpstr>
      <vt:lpstr>monthRecord_hireDate</vt:lpstr>
      <vt:lpstr>monthRecord_IdWorker</vt:lpstr>
      <vt:lpstr>monthRecord_Month</vt:lpstr>
      <vt:lpstr>monthRecord_Year</vt:lpstr>
      <vt:lpstr>'Rozliczanie pracy'!Obszar_wydruku</vt:lpstr>
      <vt:lpstr>'Z - EWIDENCJA ROCZNA'!Obszar_wydruku</vt:lpstr>
      <vt:lpstr>'Z - stan urlopu na piony'!Obszar_wydruku</vt:lpstr>
      <vt:lpstr>pickedYearToHolidays</vt:lpstr>
      <vt:lpstr>R_allAbsence_dateEnd</vt:lpstr>
      <vt:lpstr>R_allAbsence_dateStart</vt:lpstr>
      <vt:lpstr>transferDays_chosenYear</vt:lpstr>
      <vt:lpstr>W_daysOfVacationChosenYear</vt:lpstr>
      <vt:lpstr>YearRecord_chosenWorkerID</vt:lpstr>
      <vt:lpstr>YearRecord_chosenYear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2023-04-02T07:34:19Z</cp:lastPrinted>
  <dcterms:created xsi:type="dcterms:W3CDTF">2015-06-05T18:17:20Z</dcterms:created>
  <dcterms:modified xsi:type="dcterms:W3CDTF">2023-04-08T15:09:02Z</dcterms:modified>
</cp:coreProperties>
</file>